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UARIO\OneDrive\Desktop\Ponencia OIT - Poy\Pool de paneles\"/>
    </mc:Choice>
  </mc:AlternateContent>
  <xr:revisionPtr revIDLastSave="0" documentId="13_ncr:1_{A42CBB3C-050C-47EB-B969-077553648E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03-2004" sheetId="1" r:id="rId1"/>
    <sheet name="2004-2005" sheetId="2" r:id="rId2"/>
    <sheet name="2005-2006" sheetId="3" r:id="rId3"/>
    <sheet name="2006-2007" sheetId="4" r:id="rId4"/>
    <sheet name="2007-2008" sheetId="5" r:id="rId5"/>
    <sheet name="2008-2009" sheetId="6" r:id="rId6"/>
    <sheet name="2009-2010" sheetId="7" r:id="rId7"/>
    <sheet name="2010-2011" sheetId="8" r:id="rId8"/>
    <sheet name="2011-2012" sheetId="9" r:id="rId9"/>
    <sheet name="2012-2013" sheetId="10" r:id="rId10"/>
    <sheet name="2013-2014" sheetId="11" r:id="rId11"/>
    <sheet name="2014-2015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  <sheet name="2023-2024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7" i="1" l="1"/>
  <c r="O10" i="1"/>
  <c r="O9" i="1"/>
  <c r="O8" i="1"/>
  <c r="O6" i="1"/>
  <c r="O5" i="1"/>
  <c r="L12" i="20"/>
  <c r="L11" i="20"/>
  <c r="L10" i="20"/>
  <c r="L9" i="20"/>
  <c r="L8" i="20"/>
  <c r="L7" i="20"/>
  <c r="L6" i="20"/>
  <c r="L5" i="20"/>
  <c r="L4" i="20"/>
  <c r="L12" i="19"/>
  <c r="L11" i="19"/>
  <c r="L10" i="19"/>
  <c r="L9" i="19"/>
  <c r="L8" i="19"/>
  <c r="L7" i="19"/>
  <c r="L6" i="19"/>
  <c r="L5" i="19"/>
  <c r="L4" i="19"/>
  <c r="L12" i="18"/>
  <c r="L11" i="18"/>
  <c r="L10" i="18"/>
  <c r="L9" i="18"/>
  <c r="L8" i="18"/>
  <c r="L7" i="18"/>
  <c r="L6" i="18"/>
  <c r="L5" i="18"/>
  <c r="L4" i="18"/>
  <c r="L12" i="17"/>
  <c r="L11" i="17"/>
  <c r="L10" i="17"/>
  <c r="L9" i="17"/>
  <c r="L8" i="17"/>
  <c r="L7" i="17"/>
  <c r="L6" i="17"/>
  <c r="L5" i="17"/>
  <c r="L4" i="17"/>
  <c r="L12" i="16"/>
  <c r="L11" i="16"/>
  <c r="L10" i="16"/>
  <c r="L9" i="16"/>
  <c r="L8" i="16"/>
  <c r="L7" i="16"/>
  <c r="L6" i="16"/>
  <c r="L5" i="16"/>
  <c r="L4" i="16"/>
  <c r="L12" i="15"/>
  <c r="L11" i="15"/>
  <c r="L10" i="15"/>
  <c r="L9" i="15"/>
  <c r="L8" i="15"/>
  <c r="L7" i="15"/>
  <c r="L6" i="15"/>
  <c r="L5" i="15"/>
  <c r="L4" i="15"/>
  <c r="L12" i="14"/>
  <c r="L11" i="14"/>
  <c r="L10" i="14"/>
  <c r="L9" i="14"/>
  <c r="L8" i="14"/>
  <c r="L7" i="14"/>
  <c r="L6" i="14"/>
  <c r="L5" i="14"/>
  <c r="L4" i="14"/>
  <c r="L12" i="13"/>
  <c r="L11" i="13"/>
  <c r="L10" i="13"/>
  <c r="L9" i="13"/>
  <c r="L8" i="13"/>
  <c r="L7" i="13"/>
  <c r="L6" i="13"/>
  <c r="L5" i="13"/>
  <c r="L4" i="13"/>
  <c r="L12" i="12"/>
  <c r="L11" i="12"/>
  <c r="L10" i="12"/>
  <c r="L9" i="12"/>
  <c r="L8" i="12"/>
  <c r="L7" i="12"/>
  <c r="L6" i="12"/>
  <c r="L5" i="12"/>
  <c r="L4" i="12"/>
  <c r="L12" i="11"/>
  <c r="L11" i="11"/>
  <c r="L10" i="11"/>
  <c r="L9" i="11"/>
  <c r="L8" i="11"/>
  <c r="L7" i="11"/>
  <c r="L6" i="11"/>
  <c r="L5" i="11"/>
  <c r="L4" i="11"/>
  <c r="L12" i="10"/>
  <c r="L11" i="10"/>
  <c r="L10" i="10"/>
  <c r="L9" i="10"/>
  <c r="L8" i="10"/>
  <c r="L7" i="10"/>
  <c r="L6" i="10"/>
  <c r="L5" i="10"/>
  <c r="L4" i="10"/>
  <c r="L12" i="9"/>
  <c r="L11" i="9"/>
  <c r="L10" i="9"/>
  <c r="L9" i="9"/>
  <c r="L8" i="9"/>
  <c r="L7" i="9"/>
  <c r="L6" i="9"/>
  <c r="L5" i="9"/>
  <c r="L4" i="9"/>
  <c r="L12" i="8"/>
  <c r="L11" i="8"/>
  <c r="L10" i="8"/>
  <c r="L9" i="8"/>
  <c r="L8" i="8"/>
  <c r="L7" i="8"/>
  <c r="L6" i="8"/>
  <c r="L5" i="8"/>
  <c r="L4" i="8"/>
  <c r="L12" i="7"/>
  <c r="L11" i="7"/>
  <c r="L10" i="7"/>
  <c r="L9" i="7"/>
  <c r="L8" i="7"/>
  <c r="L7" i="7"/>
  <c r="L6" i="7"/>
  <c r="L5" i="7"/>
  <c r="L4" i="7"/>
  <c r="L12" i="6"/>
  <c r="L11" i="6"/>
  <c r="L10" i="6"/>
  <c r="L9" i="6"/>
  <c r="L8" i="6"/>
  <c r="L7" i="6"/>
  <c r="L6" i="6"/>
  <c r="L5" i="6"/>
  <c r="L4" i="6"/>
  <c r="L12" i="5"/>
  <c r="L11" i="5"/>
  <c r="L10" i="5"/>
  <c r="L9" i="5"/>
  <c r="L8" i="5"/>
  <c r="L7" i="5"/>
  <c r="L6" i="5"/>
  <c r="L5" i="5"/>
  <c r="L4" i="5"/>
  <c r="L12" i="4"/>
  <c r="L11" i="4"/>
  <c r="L10" i="4"/>
  <c r="L9" i="4"/>
  <c r="L8" i="4"/>
  <c r="L7" i="4"/>
  <c r="L6" i="4"/>
  <c r="L5" i="4"/>
  <c r="L4" i="4"/>
  <c r="L12" i="3"/>
  <c r="L11" i="3"/>
  <c r="L10" i="3"/>
  <c r="L9" i="3"/>
  <c r="L8" i="3"/>
  <c r="L7" i="3"/>
  <c r="L6" i="3"/>
  <c r="L5" i="3"/>
  <c r="L4" i="3"/>
  <c r="K13" i="20"/>
  <c r="J13" i="20"/>
  <c r="I13" i="20"/>
  <c r="H13" i="20"/>
  <c r="G13" i="20"/>
  <c r="F13" i="20"/>
  <c r="E13" i="20"/>
  <c r="D13" i="20"/>
  <c r="C13" i="20"/>
  <c r="K13" i="19"/>
  <c r="J13" i="19"/>
  <c r="I13" i="19"/>
  <c r="H13" i="19"/>
  <c r="G13" i="19"/>
  <c r="F13" i="19"/>
  <c r="E13" i="19"/>
  <c r="D13" i="19"/>
  <c r="C13" i="19"/>
  <c r="K13" i="18"/>
  <c r="J13" i="18"/>
  <c r="I13" i="18"/>
  <c r="H13" i="18"/>
  <c r="G13" i="18"/>
  <c r="F13" i="18"/>
  <c r="E13" i="18"/>
  <c r="D13" i="18"/>
  <c r="C13" i="18"/>
  <c r="K13" i="17"/>
  <c r="J13" i="17"/>
  <c r="I13" i="17"/>
  <c r="H13" i="17"/>
  <c r="G13" i="17"/>
  <c r="F13" i="17"/>
  <c r="E13" i="17"/>
  <c r="D13" i="17"/>
  <c r="C13" i="17"/>
  <c r="K13" i="16"/>
  <c r="J13" i="16"/>
  <c r="I13" i="16"/>
  <c r="H13" i="16"/>
  <c r="G13" i="16"/>
  <c r="F13" i="16"/>
  <c r="E13" i="16"/>
  <c r="D13" i="16"/>
  <c r="C13" i="16"/>
  <c r="K13" i="15"/>
  <c r="J13" i="15"/>
  <c r="I13" i="15"/>
  <c r="H13" i="15"/>
  <c r="G13" i="15"/>
  <c r="F13" i="15"/>
  <c r="E13" i="15"/>
  <c r="D13" i="15"/>
  <c r="C13" i="15"/>
  <c r="K13" i="14"/>
  <c r="J13" i="14"/>
  <c r="I13" i="14"/>
  <c r="H13" i="14"/>
  <c r="G13" i="14"/>
  <c r="F13" i="14"/>
  <c r="E13" i="14"/>
  <c r="D13" i="14"/>
  <c r="C13" i="14"/>
  <c r="K13" i="13"/>
  <c r="J13" i="13"/>
  <c r="I13" i="13"/>
  <c r="H13" i="13"/>
  <c r="G13" i="13"/>
  <c r="F13" i="13"/>
  <c r="E13" i="13"/>
  <c r="D13" i="13"/>
  <c r="C13" i="13"/>
  <c r="K13" i="12"/>
  <c r="J13" i="12"/>
  <c r="I13" i="12"/>
  <c r="H13" i="12"/>
  <c r="G13" i="12"/>
  <c r="F13" i="12"/>
  <c r="E13" i="12"/>
  <c r="D13" i="12"/>
  <c r="C13" i="12"/>
  <c r="K13" i="11"/>
  <c r="J13" i="11"/>
  <c r="I13" i="11"/>
  <c r="H13" i="11"/>
  <c r="G13" i="11"/>
  <c r="F13" i="11"/>
  <c r="E13" i="11"/>
  <c r="D13" i="11"/>
  <c r="C13" i="11"/>
  <c r="K13" i="10"/>
  <c r="J13" i="10"/>
  <c r="I13" i="10"/>
  <c r="H13" i="10"/>
  <c r="G13" i="10"/>
  <c r="F13" i="10"/>
  <c r="E13" i="10"/>
  <c r="D13" i="10"/>
  <c r="C13" i="10"/>
  <c r="K13" i="9"/>
  <c r="J13" i="9"/>
  <c r="I13" i="9"/>
  <c r="H13" i="9"/>
  <c r="G13" i="9"/>
  <c r="F13" i="9"/>
  <c r="E13" i="9"/>
  <c r="D13" i="9"/>
  <c r="C13" i="9"/>
  <c r="K13" i="8"/>
  <c r="J13" i="8"/>
  <c r="I13" i="8"/>
  <c r="H13" i="8"/>
  <c r="G13" i="8"/>
  <c r="F13" i="8"/>
  <c r="E13" i="8"/>
  <c r="D13" i="8"/>
  <c r="C13" i="8"/>
  <c r="K13" i="7"/>
  <c r="J13" i="7"/>
  <c r="I13" i="7"/>
  <c r="H13" i="7"/>
  <c r="G13" i="7"/>
  <c r="F13" i="7"/>
  <c r="E13" i="7"/>
  <c r="D13" i="7"/>
  <c r="C13" i="7"/>
  <c r="C12" i="7"/>
  <c r="D12" i="7"/>
  <c r="E12" i="7"/>
  <c r="F12" i="7"/>
  <c r="G12" i="7"/>
  <c r="H12" i="7"/>
  <c r="I12" i="7"/>
  <c r="J12" i="7"/>
  <c r="K12" i="7"/>
  <c r="K13" i="6"/>
  <c r="J13" i="6"/>
  <c r="I13" i="6"/>
  <c r="H13" i="6"/>
  <c r="G13" i="6"/>
  <c r="F13" i="6"/>
  <c r="E13" i="6"/>
  <c r="D13" i="6"/>
  <c r="C13" i="6"/>
  <c r="K13" i="5"/>
  <c r="J13" i="5"/>
  <c r="I13" i="5"/>
  <c r="H13" i="5"/>
  <c r="G13" i="5"/>
  <c r="F13" i="5"/>
  <c r="E13" i="5"/>
  <c r="D13" i="5"/>
  <c r="C13" i="5"/>
  <c r="K13" i="4"/>
  <c r="J13" i="4"/>
  <c r="I13" i="4"/>
  <c r="H13" i="4"/>
  <c r="G13" i="4"/>
  <c r="F13" i="4"/>
  <c r="E13" i="4"/>
  <c r="D13" i="4"/>
  <c r="C13" i="4"/>
  <c r="K13" i="3"/>
  <c r="J13" i="3"/>
  <c r="I13" i="3"/>
  <c r="H13" i="3"/>
  <c r="G13" i="3"/>
  <c r="F13" i="3"/>
  <c r="E13" i="3"/>
  <c r="D13" i="3"/>
  <c r="C13" i="3"/>
  <c r="L6" i="1"/>
  <c r="L7" i="1"/>
  <c r="L8" i="1"/>
  <c r="L9" i="1"/>
  <c r="L10" i="1"/>
  <c r="L11" i="1"/>
  <c r="L12" i="1"/>
  <c r="L13" i="1"/>
  <c r="L5" i="1"/>
  <c r="D14" i="1"/>
  <c r="E14" i="1"/>
  <c r="F14" i="1"/>
  <c r="G14" i="1"/>
  <c r="H14" i="1"/>
  <c r="I14" i="1"/>
  <c r="J14" i="1"/>
  <c r="K14" i="1"/>
  <c r="C14" i="1"/>
  <c r="K11" i="20"/>
  <c r="K10" i="20"/>
  <c r="K9" i="20"/>
  <c r="K8" i="20"/>
  <c r="K7" i="20"/>
  <c r="K6" i="20"/>
  <c r="K5" i="20"/>
  <c r="K4" i="20"/>
  <c r="K11" i="19"/>
  <c r="K10" i="19"/>
  <c r="K9" i="19"/>
  <c r="K8" i="19"/>
  <c r="K7" i="19"/>
  <c r="K6" i="19"/>
  <c r="K5" i="19"/>
  <c r="K4" i="19"/>
  <c r="K11" i="18"/>
  <c r="K10" i="18"/>
  <c r="K9" i="18"/>
  <c r="K8" i="18"/>
  <c r="K7" i="18"/>
  <c r="K6" i="18"/>
  <c r="K5" i="18"/>
  <c r="K4" i="18"/>
  <c r="K11" i="17"/>
  <c r="K10" i="17"/>
  <c r="K9" i="17"/>
  <c r="K8" i="17"/>
  <c r="K7" i="17"/>
  <c r="K6" i="17"/>
  <c r="K5" i="17"/>
  <c r="K4" i="17"/>
  <c r="K11" i="16"/>
  <c r="K10" i="16"/>
  <c r="K9" i="16"/>
  <c r="K8" i="16"/>
  <c r="K7" i="16"/>
  <c r="K6" i="16"/>
  <c r="K5" i="16"/>
  <c r="K4" i="16"/>
  <c r="K11" i="15"/>
  <c r="K10" i="15"/>
  <c r="K9" i="15"/>
  <c r="K8" i="15"/>
  <c r="K7" i="15"/>
  <c r="K6" i="15"/>
  <c r="K5" i="15"/>
  <c r="K4" i="15"/>
  <c r="K11" i="14"/>
  <c r="K10" i="14"/>
  <c r="K9" i="14"/>
  <c r="K8" i="14"/>
  <c r="K7" i="14"/>
  <c r="K6" i="14"/>
  <c r="K5" i="14"/>
  <c r="K4" i="14"/>
  <c r="K11" i="13"/>
  <c r="K10" i="13"/>
  <c r="K9" i="13"/>
  <c r="K8" i="13"/>
  <c r="K7" i="13"/>
  <c r="K6" i="13"/>
  <c r="K5" i="13"/>
  <c r="K4" i="13"/>
  <c r="K11" i="12"/>
  <c r="K10" i="12"/>
  <c r="K9" i="12"/>
  <c r="K8" i="12"/>
  <c r="K7" i="12"/>
  <c r="K6" i="12"/>
  <c r="K5" i="12"/>
  <c r="K4" i="12"/>
  <c r="K11" i="11"/>
  <c r="K10" i="11"/>
  <c r="K9" i="11"/>
  <c r="K8" i="11"/>
  <c r="K7" i="11"/>
  <c r="K6" i="11"/>
  <c r="K5" i="11"/>
  <c r="K4" i="11"/>
  <c r="K11" i="10"/>
  <c r="K10" i="10"/>
  <c r="K9" i="10"/>
  <c r="K8" i="10"/>
  <c r="K7" i="10"/>
  <c r="K6" i="10"/>
  <c r="K5" i="10"/>
  <c r="K4" i="10"/>
  <c r="K12" i="10" s="1"/>
  <c r="K11" i="9"/>
  <c r="K10" i="9"/>
  <c r="K9" i="9"/>
  <c r="K8" i="9"/>
  <c r="K7" i="9"/>
  <c r="K6" i="9"/>
  <c r="K5" i="9"/>
  <c r="K4" i="9"/>
  <c r="K11" i="8"/>
  <c r="K10" i="8"/>
  <c r="K9" i="8"/>
  <c r="K8" i="8"/>
  <c r="K7" i="8"/>
  <c r="K6" i="8"/>
  <c r="K5" i="8"/>
  <c r="K4" i="8"/>
  <c r="K11" i="7"/>
  <c r="K10" i="7"/>
  <c r="K9" i="7"/>
  <c r="K8" i="7"/>
  <c r="K7" i="7"/>
  <c r="K6" i="7"/>
  <c r="K5" i="7"/>
  <c r="K4" i="7"/>
  <c r="K11" i="6"/>
  <c r="K10" i="6"/>
  <c r="K9" i="6"/>
  <c r="K8" i="6"/>
  <c r="K7" i="6"/>
  <c r="K6" i="6"/>
  <c r="K5" i="6"/>
  <c r="K4" i="6"/>
  <c r="K11" i="5"/>
  <c r="K10" i="5"/>
  <c r="K9" i="5"/>
  <c r="K8" i="5"/>
  <c r="K7" i="5"/>
  <c r="K6" i="5"/>
  <c r="K5" i="5"/>
  <c r="K4" i="5"/>
  <c r="K11" i="4"/>
  <c r="K10" i="4"/>
  <c r="K9" i="4"/>
  <c r="K8" i="4"/>
  <c r="K7" i="4"/>
  <c r="K6" i="4"/>
  <c r="K5" i="4"/>
  <c r="K4" i="4"/>
  <c r="K11" i="3"/>
  <c r="K10" i="3"/>
  <c r="K9" i="3"/>
  <c r="K8" i="3"/>
  <c r="K7" i="3"/>
  <c r="K6" i="3"/>
  <c r="K5" i="3"/>
  <c r="K4" i="3"/>
  <c r="K11" i="2"/>
  <c r="K10" i="2"/>
  <c r="K9" i="2"/>
  <c r="K8" i="2"/>
  <c r="K7" i="2"/>
  <c r="K6" i="2"/>
  <c r="K5" i="2"/>
  <c r="K4" i="2"/>
  <c r="J12" i="20"/>
  <c r="I12" i="20"/>
  <c r="H12" i="20"/>
  <c r="G12" i="20"/>
  <c r="F12" i="20"/>
  <c r="E12" i="20"/>
  <c r="D12" i="20"/>
  <c r="C12" i="20"/>
  <c r="J12" i="19"/>
  <c r="I12" i="19"/>
  <c r="H12" i="19"/>
  <c r="G12" i="19"/>
  <c r="F12" i="19"/>
  <c r="E12" i="19"/>
  <c r="D12" i="19"/>
  <c r="C12" i="19"/>
  <c r="J12" i="18"/>
  <c r="I12" i="18"/>
  <c r="H12" i="18"/>
  <c r="G12" i="18"/>
  <c r="F12" i="18"/>
  <c r="E12" i="18"/>
  <c r="D12" i="18"/>
  <c r="C12" i="18"/>
  <c r="J12" i="17"/>
  <c r="I12" i="17"/>
  <c r="H12" i="17"/>
  <c r="G12" i="17"/>
  <c r="F12" i="17"/>
  <c r="E12" i="17"/>
  <c r="D12" i="17"/>
  <c r="C12" i="17"/>
  <c r="J12" i="16"/>
  <c r="I12" i="16"/>
  <c r="H12" i="16"/>
  <c r="G12" i="16"/>
  <c r="F12" i="16"/>
  <c r="E12" i="16"/>
  <c r="D12" i="16"/>
  <c r="C12" i="16"/>
  <c r="J12" i="15"/>
  <c r="I12" i="15"/>
  <c r="H12" i="15"/>
  <c r="G12" i="15"/>
  <c r="F12" i="15"/>
  <c r="E12" i="15"/>
  <c r="D12" i="15"/>
  <c r="C12" i="15"/>
  <c r="J12" i="14"/>
  <c r="I12" i="14"/>
  <c r="H12" i="14"/>
  <c r="G12" i="14"/>
  <c r="F12" i="14"/>
  <c r="E12" i="14"/>
  <c r="D12" i="14"/>
  <c r="C12" i="14"/>
  <c r="J12" i="13"/>
  <c r="I12" i="13"/>
  <c r="H12" i="13"/>
  <c r="G12" i="13"/>
  <c r="F12" i="13"/>
  <c r="E12" i="13"/>
  <c r="D12" i="13"/>
  <c r="C12" i="13"/>
  <c r="J12" i="12"/>
  <c r="I12" i="12"/>
  <c r="H12" i="12"/>
  <c r="G12" i="12"/>
  <c r="F12" i="12"/>
  <c r="E12" i="12"/>
  <c r="D12" i="12"/>
  <c r="C12" i="12"/>
  <c r="J12" i="11"/>
  <c r="I12" i="11"/>
  <c r="H12" i="11"/>
  <c r="G12" i="11"/>
  <c r="F12" i="11"/>
  <c r="E12" i="11"/>
  <c r="D12" i="11"/>
  <c r="C12" i="11"/>
  <c r="J12" i="10"/>
  <c r="I12" i="10"/>
  <c r="H12" i="10"/>
  <c r="G12" i="10"/>
  <c r="F12" i="10"/>
  <c r="E12" i="10"/>
  <c r="D12" i="10"/>
  <c r="C12" i="10"/>
  <c r="J12" i="9"/>
  <c r="I12" i="9"/>
  <c r="H12" i="9"/>
  <c r="G12" i="9"/>
  <c r="F12" i="9"/>
  <c r="E12" i="9"/>
  <c r="D12" i="9"/>
  <c r="C12" i="9"/>
  <c r="J12" i="8"/>
  <c r="I12" i="8"/>
  <c r="H12" i="8"/>
  <c r="G12" i="8"/>
  <c r="F12" i="8"/>
  <c r="E12" i="8"/>
  <c r="D12" i="8"/>
  <c r="C12" i="8"/>
  <c r="J12" i="6"/>
  <c r="I12" i="6"/>
  <c r="H12" i="6"/>
  <c r="G12" i="6"/>
  <c r="F12" i="6"/>
  <c r="E12" i="6"/>
  <c r="D12" i="6"/>
  <c r="C12" i="6"/>
  <c r="J12" i="5"/>
  <c r="I12" i="5"/>
  <c r="H12" i="5"/>
  <c r="G12" i="5"/>
  <c r="F12" i="5"/>
  <c r="E12" i="5"/>
  <c r="D12" i="5"/>
  <c r="C12" i="5"/>
  <c r="J12" i="4"/>
  <c r="I12" i="4"/>
  <c r="H12" i="4"/>
  <c r="G12" i="4"/>
  <c r="F12" i="4"/>
  <c r="E12" i="4"/>
  <c r="D12" i="4"/>
  <c r="C12" i="4"/>
  <c r="J12" i="3"/>
  <c r="I12" i="3"/>
  <c r="H12" i="3"/>
  <c r="G12" i="3"/>
  <c r="F12" i="3"/>
  <c r="E12" i="3"/>
  <c r="D12" i="3"/>
  <c r="C12" i="3"/>
  <c r="J12" i="2"/>
  <c r="I12" i="2"/>
  <c r="H12" i="2"/>
  <c r="G12" i="2"/>
  <c r="F12" i="2"/>
  <c r="E12" i="2"/>
  <c r="D12" i="2"/>
  <c r="C12" i="2"/>
  <c r="K6" i="1"/>
  <c r="K7" i="1"/>
  <c r="K8" i="1"/>
  <c r="K9" i="1"/>
  <c r="K10" i="1"/>
  <c r="K11" i="1"/>
  <c r="K12" i="1"/>
  <c r="K5" i="1"/>
  <c r="K13" i="1" s="1"/>
  <c r="D13" i="1"/>
  <c r="E13" i="1"/>
  <c r="F13" i="1"/>
  <c r="G13" i="1"/>
  <c r="H13" i="1"/>
  <c r="I13" i="1"/>
  <c r="J13" i="1"/>
  <c r="C13" i="1"/>
  <c r="L10" i="2" l="1"/>
  <c r="K12" i="20"/>
  <c r="K12" i="19"/>
  <c r="K12" i="18"/>
  <c r="K12" i="17"/>
  <c r="K12" i="16"/>
  <c r="K12" i="15"/>
  <c r="K12" i="14"/>
  <c r="K12" i="13"/>
  <c r="K12" i="12"/>
  <c r="K12" i="11"/>
  <c r="K12" i="9"/>
  <c r="K12" i="8"/>
  <c r="K12" i="6"/>
  <c r="K12" i="5"/>
  <c r="K12" i="4"/>
  <c r="K12" i="3"/>
  <c r="K12" i="2"/>
  <c r="L11" i="2" s="1"/>
  <c r="I13" i="2" l="1"/>
  <c r="L9" i="2"/>
  <c r="L8" i="2"/>
  <c r="D13" i="2"/>
  <c r="C13" i="2"/>
  <c r="L12" i="2"/>
  <c r="L5" i="2"/>
  <c r="L4" i="2"/>
  <c r="H13" i="2"/>
  <c r="L6" i="2"/>
  <c r="G13" i="2"/>
  <c r="L7" i="2"/>
  <c r="K13" i="2"/>
  <c r="E13" i="2"/>
  <c r="F13" i="2"/>
  <c r="J13" i="2"/>
</calcChain>
</file>

<file path=xl/sharedStrings.xml><?xml version="1.0" encoding="utf-8"?>
<sst xmlns="http://schemas.openxmlformats.org/spreadsheetml/2006/main" count="1430" uniqueCount="34">
  <si>
    <t>Matriz absoluta de transiciones</t>
  </si>
  <si>
    <t/>
  </si>
  <si>
    <t>Patrones.+5</t>
  </si>
  <si>
    <t>TCP.calificados</t>
  </si>
  <si>
    <t>Asalariados.formales</t>
  </si>
  <si>
    <t>Microempresarios</t>
  </si>
  <si>
    <t>TCP.semi.o.no.calificados</t>
  </si>
  <si>
    <t>Asalariados.informales</t>
  </si>
  <si>
    <t>Desocupados</t>
  </si>
  <si>
    <t>Inactivos</t>
  </si>
  <si>
    <t>Patrones +5</t>
  </si>
  <si>
    <t>TCP calificados</t>
  </si>
  <si>
    <t>Asalariados formales</t>
  </si>
  <si>
    <t>TCP semi o no calificados</t>
  </si>
  <si>
    <t>Asalariados informales</t>
  </si>
  <si>
    <t>Tasas condicionales (probabilidades de transición)</t>
  </si>
  <si>
    <t>Tasas normalizadas por el total (tasas totales)</t>
  </si>
  <si>
    <t>Balance del stock</t>
  </si>
  <si>
    <t>Total</t>
  </si>
  <si>
    <t>t+1</t>
  </si>
  <si>
    <t>t</t>
  </si>
  <si>
    <t>Origen/Destino</t>
  </si>
  <si>
    <t>Estructura t1</t>
  </si>
  <si>
    <t>Estructura t</t>
  </si>
  <si>
    <t>TCP</t>
  </si>
  <si>
    <t>AI</t>
  </si>
  <si>
    <t>AF</t>
  </si>
  <si>
    <t>% t0</t>
  </si>
  <si>
    <t>% t1</t>
  </si>
  <si>
    <t>Tasa de entrada</t>
  </si>
  <si>
    <t>Tasa de salida</t>
  </si>
  <si>
    <t>Balance (TE-TS)</t>
  </si>
  <si>
    <t>Rotación</t>
  </si>
  <si>
    <t>(*) Tasas normalizadas sobre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</si>
</sst>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9646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0" xfId="0" applyFill="1" applyBorder="1" applyAlignment="1">
      <alignment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164" fontId="0" fillId="2" borderId="13" xfId="1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10" fontId="0" fillId="0" borderId="11" xfId="1" applyNumberFormat="1" applyFont="1" applyBorder="1" applyAlignment="1">
      <alignment horizontal="center" vertical="center" wrapText="1"/>
    </xf>
    <xf numFmtId="10" fontId="0" fillId="0" borderId="12" xfId="1" applyNumberFormat="1" applyFont="1" applyBorder="1" applyAlignment="1">
      <alignment horizontal="center" vertical="center" wrapText="1"/>
    </xf>
    <xf numFmtId="10" fontId="0" fillId="0" borderId="7" xfId="1" applyNumberFormat="1" applyFont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10" fontId="3" fillId="0" borderId="18" xfId="1" applyNumberFormat="1" applyFont="1" applyBorder="1" applyAlignment="1">
      <alignment horizontal="center" vertical="center" wrapText="1"/>
    </xf>
    <xf numFmtId="10" fontId="3" fillId="0" borderId="19" xfId="1" applyNumberFormat="1" applyFont="1" applyBorder="1" applyAlignment="1">
      <alignment horizontal="center" vertical="center" wrapText="1"/>
    </xf>
    <xf numFmtId="10" fontId="3" fillId="0" borderId="20" xfId="1" applyNumberFormat="1" applyFont="1" applyBorder="1" applyAlignment="1">
      <alignment horizontal="center" vertical="center" wrapText="1"/>
    </xf>
    <xf numFmtId="10" fontId="3" fillId="0" borderId="21" xfId="1" applyNumberFormat="1" applyFont="1" applyBorder="1" applyAlignment="1">
      <alignment horizontal="center" vertical="center" wrapText="1"/>
    </xf>
    <xf numFmtId="10" fontId="3" fillId="0" borderId="22" xfId="1" applyNumberFormat="1" applyFont="1" applyBorder="1" applyAlignment="1">
      <alignment horizontal="center" vertical="center" wrapText="1"/>
    </xf>
    <xf numFmtId="10" fontId="0" fillId="0" borderId="23" xfId="1" applyNumberFormat="1" applyFont="1" applyBorder="1" applyAlignment="1">
      <alignment horizontal="center" vertical="center" wrapText="1"/>
    </xf>
    <xf numFmtId="10" fontId="3" fillId="0" borderId="24" xfId="1" applyNumberFormat="1" applyFont="1" applyBorder="1" applyAlignment="1">
      <alignment horizontal="center" vertical="center" wrapText="1"/>
    </xf>
    <xf numFmtId="10" fontId="3" fillId="0" borderId="25" xfId="1" applyNumberFormat="1" applyFont="1" applyBorder="1" applyAlignment="1">
      <alignment horizontal="center" vertical="center" wrapText="1"/>
    </xf>
    <xf numFmtId="10" fontId="0" fillId="0" borderId="26" xfId="1" applyNumberFormat="1" applyFont="1" applyBorder="1" applyAlignment="1">
      <alignment horizontal="center" vertical="center" wrapText="1"/>
    </xf>
    <xf numFmtId="10" fontId="0" fillId="0" borderId="27" xfId="1" applyNumberFormat="1" applyFont="1" applyBorder="1" applyAlignment="1">
      <alignment horizontal="center" vertical="center" wrapText="1"/>
    </xf>
    <xf numFmtId="0" fontId="0" fillId="4" borderId="28" xfId="0" applyFill="1" applyBorder="1" applyAlignment="1">
      <alignment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10" fontId="0" fillId="0" borderId="11" xfId="0" applyNumberFormat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center" wrapText="1"/>
    </xf>
    <xf numFmtId="10" fontId="2" fillId="0" borderId="11" xfId="0" applyNumberFormat="1" applyFont="1" applyBorder="1" applyAlignment="1">
      <alignment horizontal="center" wrapText="1"/>
    </xf>
    <xf numFmtId="0" fontId="3" fillId="0" borderId="11" xfId="0" applyFont="1" applyBorder="1" applyAlignment="1">
      <alignment vertical="center"/>
    </xf>
    <xf numFmtId="2" fontId="2" fillId="0" borderId="11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opLeftCell="A31" zoomScaleNormal="100" workbookViewId="0">
      <selection activeCell="B55" sqref="B55"/>
    </sheetView>
  </sheetViews>
  <sheetFormatPr baseColWidth="10" defaultRowHeight="14.4" x14ac:dyDescent="0.3"/>
  <cols>
    <col min="1" max="1" width="1.6640625" bestFit="1" customWidth="1"/>
    <col min="2" max="2" width="27.44140625" customWidth="1"/>
    <col min="3" max="3" width="15.109375" bestFit="1" customWidth="1"/>
    <col min="4" max="4" width="13.33203125" bestFit="1" customWidth="1"/>
    <col min="5" max="5" width="18.21875" bestFit="1" customWidth="1"/>
    <col min="6" max="6" width="15.77734375" bestFit="1" customWidth="1"/>
    <col min="7" max="7" width="22.21875" bestFit="1" customWidth="1"/>
    <col min="8" max="8" width="19.6640625" bestFit="1" customWidth="1"/>
    <col min="9" max="10" width="12" bestFit="1" customWidth="1"/>
    <col min="11" max="11" width="10.109375" bestFit="1" customWidth="1"/>
    <col min="12" max="12" width="10.44140625" bestFit="1" customWidth="1"/>
    <col min="15" max="15" width="11.44140625" customWidth="1"/>
    <col min="16" max="16" width="9.21875" customWidth="1"/>
  </cols>
  <sheetData>
    <row r="1" spans="1:17" x14ac:dyDescent="0.3">
      <c r="B1" t="s">
        <v>0</v>
      </c>
    </row>
    <row r="2" spans="1:17" ht="15" thickBot="1" x14ac:dyDescent="0.35"/>
    <row r="3" spans="1:17" ht="15" thickBot="1" x14ac:dyDescent="0.35">
      <c r="A3" s="1"/>
      <c r="B3" s="10"/>
      <c r="C3" s="46" t="s">
        <v>19</v>
      </c>
      <c r="D3" s="47"/>
      <c r="E3" s="47"/>
      <c r="F3" s="47"/>
      <c r="G3" s="47"/>
      <c r="H3" s="47"/>
      <c r="I3" s="47"/>
      <c r="J3" s="47"/>
      <c r="K3" s="47"/>
      <c r="L3" s="16"/>
    </row>
    <row r="4" spans="1:17" ht="29.4" thickBot="1" x14ac:dyDescent="0.35">
      <c r="A4" s="12"/>
      <c r="B4" s="8" t="s">
        <v>21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  <c r="I4" s="8" t="s">
        <v>8</v>
      </c>
      <c r="J4" s="8" t="s">
        <v>9</v>
      </c>
      <c r="K4" s="14" t="s">
        <v>18</v>
      </c>
      <c r="L4" s="17" t="s">
        <v>23</v>
      </c>
      <c r="N4" s="37"/>
      <c r="O4" s="38" t="s">
        <v>24</v>
      </c>
      <c r="P4" s="38" t="s">
        <v>25</v>
      </c>
      <c r="Q4" s="39" t="s">
        <v>26</v>
      </c>
    </row>
    <row r="5" spans="1:17" ht="15" thickBot="1" x14ac:dyDescent="0.35">
      <c r="A5" s="48" t="s">
        <v>20</v>
      </c>
      <c r="B5" s="13" t="s">
        <v>10</v>
      </c>
      <c r="C5" s="4">
        <v>54871</v>
      </c>
      <c r="D5" s="4">
        <v>13830</v>
      </c>
      <c r="E5" s="4">
        <v>14848</v>
      </c>
      <c r="F5" s="4">
        <v>19758</v>
      </c>
      <c r="G5" s="4">
        <v>9080</v>
      </c>
      <c r="H5" s="5">
        <v>15952</v>
      </c>
      <c r="I5" s="4">
        <v>568</v>
      </c>
      <c r="J5" s="4">
        <v>2242</v>
      </c>
      <c r="K5" s="15">
        <f>SUM(C5:J5)</f>
        <v>131149</v>
      </c>
      <c r="L5" s="18">
        <f>K5/$K$13</f>
        <v>6.6011658910552183E-3</v>
      </c>
      <c r="N5" s="2" t="s">
        <v>27</v>
      </c>
      <c r="O5" s="40">
        <f>L9</f>
        <v>0.10306650276121099</v>
      </c>
      <c r="P5" s="40"/>
      <c r="Q5" s="40"/>
    </row>
    <row r="6" spans="1:17" ht="15" thickBot="1" x14ac:dyDescent="0.35">
      <c r="A6" s="49"/>
      <c r="B6" s="13" t="s">
        <v>11</v>
      </c>
      <c r="C6" s="4">
        <v>5642</v>
      </c>
      <c r="D6" s="4">
        <v>313321</v>
      </c>
      <c r="E6" s="4">
        <v>38494</v>
      </c>
      <c r="F6" s="4">
        <v>48306</v>
      </c>
      <c r="G6" s="4">
        <v>41860</v>
      </c>
      <c r="H6" s="5">
        <v>78264</v>
      </c>
      <c r="I6" s="4">
        <v>20577</v>
      </c>
      <c r="J6" s="4">
        <v>33998</v>
      </c>
      <c r="K6" s="15">
        <f t="shared" ref="K6:K12" si="0">SUM(C6:J6)</f>
        <v>580462</v>
      </c>
      <c r="L6" s="18">
        <f t="shared" ref="L6:L13" si="1">K6/$K$13</f>
        <v>2.9216585375822113E-2</v>
      </c>
      <c r="N6" s="2" t="s">
        <v>28</v>
      </c>
      <c r="O6" s="40">
        <f>G14</f>
        <v>0.10246572413479649</v>
      </c>
      <c r="P6" s="40"/>
      <c r="Q6" s="40"/>
    </row>
    <row r="7" spans="1:17" ht="29.4" thickBot="1" x14ac:dyDescent="0.35">
      <c r="A7" s="49"/>
      <c r="B7" s="13" t="s">
        <v>12</v>
      </c>
      <c r="C7" s="4">
        <v>8144</v>
      </c>
      <c r="D7" s="4">
        <v>31674</v>
      </c>
      <c r="E7" s="4">
        <v>4278164</v>
      </c>
      <c r="F7" s="4">
        <v>17970</v>
      </c>
      <c r="G7" s="4">
        <v>59414</v>
      </c>
      <c r="H7" s="5">
        <v>255969</v>
      </c>
      <c r="I7" s="4">
        <v>97584</v>
      </c>
      <c r="J7" s="4">
        <v>121390</v>
      </c>
      <c r="K7" s="15">
        <f t="shared" si="0"/>
        <v>4870309</v>
      </c>
      <c r="L7" s="18">
        <f t="shared" si="1"/>
        <v>0.24513886990902906</v>
      </c>
      <c r="N7" s="2" t="s">
        <v>29</v>
      </c>
      <c r="O7" s="40">
        <f>(SUM(G5:G12)-G9)/$K$13</f>
        <v>4.8710331736407771E-2</v>
      </c>
      <c r="P7" s="40"/>
      <c r="Q7" s="40"/>
    </row>
    <row r="8" spans="1:17" ht="29.4" thickBot="1" x14ac:dyDescent="0.35">
      <c r="A8" s="49"/>
      <c r="B8" s="13" t="s">
        <v>5</v>
      </c>
      <c r="C8" s="4">
        <v>29642</v>
      </c>
      <c r="D8" s="4">
        <v>44484</v>
      </c>
      <c r="E8" s="4">
        <v>11834</v>
      </c>
      <c r="F8" s="4">
        <v>131970</v>
      </c>
      <c r="G8" s="4">
        <v>63459</v>
      </c>
      <c r="H8" s="5">
        <v>18672</v>
      </c>
      <c r="I8" s="4">
        <v>7566</v>
      </c>
      <c r="J8" s="4">
        <v>12068</v>
      </c>
      <c r="K8" s="15">
        <f t="shared" si="0"/>
        <v>319695</v>
      </c>
      <c r="L8" s="18">
        <f t="shared" si="1"/>
        <v>1.6091313921881966E-2</v>
      </c>
      <c r="N8" s="2" t="s">
        <v>30</v>
      </c>
      <c r="O8" s="40">
        <f>(SUM(C9:J9)-G9)/K13</f>
        <v>4.9311110362822271E-2</v>
      </c>
      <c r="P8" s="40"/>
      <c r="Q8" s="40"/>
    </row>
    <row r="9" spans="1:17" ht="29.4" thickBot="1" x14ac:dyDescent="0.35">
      <c r="A9" s="49"/>
      <c r="B9" s="13" t="s">
        <v>13</v>
      </c>
      <c r="C9" s="4">
        <v>10980</v>
      </c>
      <c r="D9" s="4">
        <v>49248</v>
      </c>
      <c r="E9" s="4">
        <v>71059</v>
      </c>
      <c r="F9" s="4">
        <v>86117</v>
      </c>
      <c r="G9" s="4">
        <v>1067988</v>
      </c>
      <c r="H9" s="5">
        <v>429315</v>
      </c>
      <c r="I9" s="4">
        <v>127670</v>
      </c>
      <c r="J9" s="4">
        <v>205302</v>
      </c>
      <c r="K9" s="15">
        <f t="shared" si="0"/>
        <v>2047679</v>
      </c>
      <c r="L9" s="18">
        <f t="shared" si="1"/>
        <v>0.10306650276121099</v>
      </c>
      <c r="N9" s="41" t="s">
        <v>31</v>
      </c>
      <c r="O9" s="45">
        <f>(O7-O8)*100</f>
        <v>-6.0077862641449986E-2</v>
      </c>
      <c r="P9" s="45"/>
      <c r="Q9" s="42"/>
    </row>
    <row r="10" spans="1:17" ht="15" thickBot="1" x14ac:dyDescent="0.35">
      <c r="A10" s="49"/>
      <c r="B10" s="8" t="s">
        <v>14</v>
      </c>
      <c r="C10" s="6">
        <v>13444</v>
      </c>
      <c r="D10" s="6">
        <v>75110</v>
      </c>
      <c r="E10" s="6">
        <v>513908</v>
      </c>
      <c r="F10" s="6">
        <v>42624</v>
      </c>
      <c r="G10" s="6">
        <v>402634</v>
      </c>
      <c r="H10" s="7">
        <v>2667235</v>
      </c>
      <c r="I10" s="4">
        <v>339798</v>
      </c>
      <c r="J10" s="4">
        <v>459615</v>
      </c>
      <c r="K10" s="15">
        <f t="shared" si="0"/>
        <v>4514368</v>
      </c>
      <c r="L10" s="18">
        <f t="shared" si="1"/>
        <v>0.22722317410938067</v>
      </c>
      <c r="N10" s="41" t="s">
        <v>32</v>
      </c>
      <c r="O10" s="43">
        <f>AVERAGE(O7:O8)</f>
        <v>4.9010721049615021E-2</v>
      </c>
      <c r="P10" s="43"/>
      <c r="Q10" s="43"/>
    </row>
    <row r="11" spans="1:17" ht="15" thickBot="1" x14ac:dyDescent="0.35">
      <c r="A11" s="49"/>
      <c r="B11" s="13" t="s">
        <v>8</v>
      </c>
      <c r="C11" s="4">
        <v>968</v>
      </c>
      <c r="D11" s="4">
        <v>55762</v>
      </c>
      <c r="E11" s="4">
        <v>185053</v>
      </c>
      <c r="F11" s="4">
        <v>12476</v>
      </c>
      <c r="G11" s="4">
        <v>194561</v>
      </c>
      <c r="H11" s="4">
        <v>554994</v>
      </c>
      <c r="I11" s="4">
        <v>572433</v>
      </c>
      <c r="J11" s="4">
        <v>518494</v>
      </c>
      <c r="K11" s="15">
        <f t="shared" si="0"/>
        <v>2094741</v>
      </c>
      <c r="L11" s="18">
        <f t="shared" si="1"/>
        <v>0.10543528993583558</v>
      </c>
      <c r="N11" s="44" t="s">
        <v>33</v>
      </c>
      <c r="O11" s="2"/>
      <c r="P11" s="2"/>
      <c r="Q11" s="2"/>
    </row>
    <row r="12" spans="1:17" ht="15" thickBot="1" x14ac:dyDescent="0.35">
      <c r="A12" s="49"/>
      <c r="B12" s="13" t="s">
        <v>9</v>
      </c>
      <c r="C12" s="4">
        <v>5114</v>
      </c>
      <c r="D12" s="4">
        <v>38363</v>
      </c>
      <c r="E12" s="4">
        <v>136078</v>
      </c>
      <c r="F12" s="4">
        <v>11291</v>
      </c>
      <c r="G12" s="4">
        <v>196747</v>
      </c>
      <c r="H12" s="4">
        <v>615843</v>
      </c>
      <c r="I12" s="4">
        <v>475729</v>
      </c>
      <c r="J12" s="4">
        <v>3829983</v>
      </c>
      <c r="K12" s="15">
        <f t="shared" si="0"/>
        <v>5309148</v>
      </c>
      <c r="L12" s="18">
        <f t="shared" si="1"/>
        <v>0.26722709809578443</v>
      </c>
    </row>
    <row r="13" spans="1:17" ht="15" thickBot="1" x14ac:dyDescent="0.35">
      <c r="A13" s="50"/>
      <c r="B13" s="20" t="s">
        <v>18</v>
      </c>
      <c r="C13" s="21">
        <f>SUM(C5:C12)</f>
        <v>128805</v>
      </c>
      <c r="D13" s="21">
        <f t="shared" ref="D13:J13" si="2">SUM(D5:D12)</f>
        <v>621792</v>
      </c>
      <c r="E13" s="21">
        <f t="shared" si="2"/>
        <v>5249438</v>
      </c>
      <c r="F13" s="21">
        <f t="shared" si="2"/>
        <v>370512</v>
      </c>
      <c r="G13" s="21">
        <f t="shared" si="2"/>
        <v>2035743</v>
      </c>
      <c r="H13" s="21">
        <f t="shared" si="2"/>
        <v>4636244</v>
      </c>
      <c r="I13" s="21">
        <f t="shared" si="2"/>
        <v>1641925</v>
      </c>
      <c r="J13" s="21">
        <f t="shared" si="2"/>
        <v>5183092</v>
      </c>
      <c r="K13" s="22">
        <f>SUM(K5:K12)</f>
        <v>19867551</v>
      </c>
      <c r="L13" s="18">
        <f t="shared" si="1"/>
        <v>1</v>
      </c>
    </row>
    <row r="14" spans="1:17" x14ac:dyDescent="0.3">
      <c r="A14" s="11"/>
      <c r="B14" s="17" t="s">
        <v>22</v>
      </c>
      <c r="C14" s="18">
        <f>C13/$K$13</f>
        <v>6.4831845656266344E-3</v>
      </c>
      <c r="D14" s="18">
        <f t="shared" ref="D14:K14" si="3">D13/$K$13</f>
        <v>3.1296861903110255E-2</v>
      </c>
      <c r="E14" s="18">
        <f t="shared" si="3"/>
        <v>0.26422169496381309</v>
      </c>
      <c r="F14" s="18">
        <f t="shared" si="3"/>
        <v>1.8649102750510117E-2</v>
      </c>
      <c r="G14" s="18">
        <f t="shared" si="3"/>
        <v>0.10246572413479649</v>
      </c>
      <c r="H14" s="18">
        <f t="shared" si="3"/>
        <v>0.23335759903170752</v>
      </c>
      <c r="I14" s="18">
        <f t="shared" si="3"/>
        <v>8.2643552796215297E-2</v>
      </c>
      <c r="J14" s="18">
        <f t="shared" si="3"/>
        <v>0.26088227985422058</v>
      </c>
      <c r="K14" s="18">
        <f t="shared" si="3"/>
        <v>1</v>
      </c>
      <c r="L14" s="19"/>
    </row>
    <row r="15" spans="1:17" x14ac:dyDescent="0.3">
      <c r="B15" s="3"/>
    </row>
    <row r="16" spans="1:17" ht="15" thickBot="1" x14ac:dyDescent="0.35">
      <c r="B16" t="s">
        <v>15</v>
      </c>
    </row>
    <row r="17" spans="2:10" ht="29.4" thickBot="1" x14ac:dyDescent="0.35">
      <c r="B17" s="27" t="s">
        <v>1</v>
      </c>
      <c r="C17" s="28" t="s">
        <v>2</v>
      </c>
      <c r="D17" s="28" t="s">
        <v>3</v>
      </c>
      <c r="E17" s="28" t="s">
        <v>4</v>
      </c>
      <c r="F17" s="28" t="s">
        <v>5</v>
      </c>
      <c r="G17" s="28" t="s">
        <v>6</v>
      </c>
      <c r="H17" s="29" t="s">
        <v>7</v>
      </c>
      <c r="I17" s="28" t="s">
        <v>8</v>
      </c>
      <c r="J17" s="30" t="s">
        <v>9</v>
      </c>
    </row>
    <row r="18" spans="2:10" ht="15" thickBot="1" x14ac:dyDescent="0.35">
      <c r="B18" s="31" t="s">
        <v>10</v>
      </c>
      <c r="C18" s="23">
        <v>0.41838672044773501</v>
      </c>
      <c r="D18" s="23">
        <v>0.105452576840083</v>
      </c>
      <c r="E18" s="23">
        <v>0.113214740486012</v>
      </c>
      <c r="F18" s="23">
        <v>0.15065307398455199</v>
      </c>
      <c r="G18" s="23">
        <v>6.92342297691938E-2</v>
      </c>
      <c r="H18" s="24">
        <v>0.121632646836804</v>
      </c>
      <c r="I18" s="23">
        <v>4.3309518181610203E-3</v>
      </c>
      <c r="J18" s="32">
        <v>1.7095059817459499E-2</v>
      </c>
    </row>
    <row r="19" spans="2:10" ht="15" thickBot="1" x14ac:dyDescent="0.35">
      <c r="B19" s="31" t="s">
        <v>11</v>
      </c>
      <c r="C19" s="23">
        <v>9.7198438485206606E-3</v>
      </c>
      <c r="D19" s="23">
        <v>0.53977865906812195</v>
      </c>
      <c r="E19" s="23">
        <v>6.6316141280566204E-2</v>
      </c>
      <c r="F19" s="23">
        <v>8.3219917927444001E-2</v>
      </c>
      <c r="G19" s="23">
        <v>7.2114970489024294E-2</v>
      </c>
      <c r="H19" s="24">
        <v>0.13483053154211599</v>
      </c>
      <c r="I19" s="23">
        <v>3.5449348966857398E-2</v>
      </c>
      <c r="J19" s="32">
        <v>5.8570586877349402E-2</v>
      </c>
    </row>
    <row r="20" spans="2:10" ht="15" thickBot="1" x14ac:dyDescent="0.35">
      <c r="B20" s="31" t="s">
        <v>12</v>
      </c>
      <c r="C20" s="23">
        <v>1.67217316190821E-3</v>
      </c>
      <c r="D20" s="23">
        <v>6.5034887930108696E-3</v>
      </c>
      <c r="E20" s="23">
        <v>0.87841736530474801</v>
      </c>
      <c r="F20" s="23">
        <v>3.6897042877566898E-3</v>
      </c>
      <c r="G20" s="23">
        <v>1.2199225962870101E-2</v>
      </c>
      <c r="H20" s="24">
        <v>5.2557034882180997E-2</v>
      </c>
      <c r="I20" s="23">
        <v>2.0036511030409002E-2</v>
      </c>
      <c r="J20" s="32">
        <v>2.4924496577116598E-2</v>
      </c>
    </row>
    <row r="21" spans="2:10" ht="15" thickBot="1" x14ac:dyDescent="0.35">
      <c r="B21" s="31" t="s">
        <v>5</v>
      </c>
      <c r="C21" s="23">
        <v>9.27196233910446E-2</v>
      </c>
      <c r="D21" s="23">
        <v>0.13914512269506901</v>
      </c>
      <c r="E21" s="23">
        <v>3.7016531381472997E-2</v>
      </c>
      <c r="F21" s="23">
        <v>0.41279969971378999</v>
      </c>
      <c r="G21" s="23">
        <v>0.19849856894852899</v>
      </c>
      <c r="H21" s="24">
        <v>5.8405667902219301E-2</v>
      </c>
      <c r="I21" s="23">
        <v>2.3666306948810601E-2</v>
      </c>
      <c r="J21" s="32">
        <v>3.7748479019065001E-2</v>
      </c>
    </row>
    <row r="22" spans="2:10" ht="15" thickBot="1" x14ac:dyDescent="0.35">
      <c r="B22" s="31" t="s">
        <v>13</v>
      </c>
      <c r="C22" s="23">
        <v>5.3621685820873302E-3</v>
      </c>
      <c r="D22" s="23">
        <v>2.4050644656706401E-2</v>
      </c>
      <c r="E22" s="23">
        <v>3.4702216509521301E-2</v>
      </c>
      <c r="F22" s="23">
        <v>4.2055908177014101E-2</v>
      </c>
      <c r="G22" s="23">
        <v>0.52156026408436096</v>
      </c>
      <c r="H22" s="24">
        <v>0.20965932648623101</v>
      </c>
      <c r="I22" s="23">
        <v>6.2348639606110097E-2</v>
      </c>
      <c r="J22" s="32">
        <v>0.100260831897968</v>
      </c>
    </row>
    <row r="23" spans="2:10" ht="15" thickBot="1" x14ac:dyDescent="0.35">
      <c r="B23" s="33" t="s">
        <v>14</v>
      </c>
      <c r="C23" s="25">
        <v>2.9780469824347501E-3</v>
      </c>
      <c r="D23" s="25">
        <v>1.6637987864525E-2</v>
      </c>
      <c r="E23" s="25">
        <v>0.113838304719509</v>
      </c>
      <c r="F23" s="25">
        <v>9.4418532117895599E-3</v>
      </c>
      <c r="G23" s="25">
        <v>8.9189450217616303E-2</v>
      </c>
      <c r="H23" s="26">
        <v>0.59083242659880597</v>
      </c>
      <c r="I23" s="23">
        <v>7.5270336844492997E-2</v>
      </c>
      <c r="J23" s="32">
        <v>0.101811593560826</v>
      </c>
    </row>
    <row r="24" spans="2:10" ht="15" thickBot="1" x14ac:dyDescent="0.35">
      <c r="B24" s="31" t="s">
        <v>8</v>
      </c>
      <c r="C24" s="23">
        <v>4.6210963551102498E-4</v>
      </c>
      <c r="D24" s="23">
        <v>2.6619997412568E-2</v>
      </c>
      <c r="E24" s="23">
        <v>8.8341709070477004E-2</v>
      </c>
      <c r="F24" s="23">
        <v>5.9558675750367197E-3</v>
      </c>
      <c r="G24" s="23">
        <v>9.2880695035806302E-2</v>
      </c>
      <c r="H24" s="23">
        <v>0.26494635852356002</v>
      </c>
      <c r="I24" s="23">
        <v>0.27327149275256502</v>
      </c>
      <c r="J24" s="32">
        <v>0.247521769994477</v>
      </c>
    </row>
    <row r="25" spans="2:10" ht="15" thickBot="1" x14ac:dyDescent="0.35">
      <c r="B25" s="34" t="s">
        <v>9</v>
      </c>
      <c r="C25" s="35">
        <v>9.6324306649579197E-4</v>
      </c>
      <c r="D25" s="35">
        <v>7.2258298318298901E-3</v>
      </c>
      <c r="E25" s="35">
        <v>2.56308545175233E-2</v>
      </c>
      <c r="F25" s="35">
        <v>2.1267065826757899E-3</v>
      </c>
      <c r="G25" s="35">
        <v>3.7058111772359702E-2</v>
      </c>
      <c r="H25" s="35">
        <v>0.115996577982004</v>
      </c>
      <c r="I25" s="35">
        <v>8.9605526159752896E-2</v>
      </c>
      <c r="J25" s="36">
        <v>0.72139315008735905</v>
      </c>
    </row>
    <row r="28" spans="2:10" x14ac:dyDescent="0.3">
      <c r="B28" t="s">
        <v>16</v>
      </c>
    </row>
    <row r="29" spans="2:10" x14ac:dyDescent="0.3"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</row>
    <row r="30" spans="2:10" x14ac:dyDescent="0.3">
      <c r="B30" t="s">
        <v>10</v>
      </c>
      <c r="C30">
        <v>2.7618401482900402E-3</v>
      </c>
      <c r="D30">
        <v>6.9610995336063305E-4</v>
      </c>
      <c r="E30">
        <v>7.47349283260931E-4</v>
      </c>
      <c r="F30">
        <v>9.9448593336944296E-4</v>
      </c>
      <c r="G30">
        <v>4.57026636045882E-4</v>
      </c>
      <c r="H30">
        <v>8.0291727953787603E-4</v>
      </c>
      <c r="I30">
        <v>2.8589331417848101E-5</v>
      </c>
      <c r="J30">
        <v>1.12847325772563E-4</v>
      </c>
    </row>
    <row r="31" spans="2:10" x14ac:dyDescent="0.3">
      <c r="B31" t="s">
        <v>11</v>
      </c>
      <c r="C31">
        <v>2.8398064763996301E-4</v>
      </c>
      <c r="D31">
        <v>1.5770489276710601E-2</v>
      </c>
      <c r="E31">
        <v>1.93753120351874E-3</v>
      </c>
      <c r="F31">
        <v>2.4314018370960801E-3</v>
      </c>
      <c r="G31">
        <v>2.1069531921674698E-3</v>
      </c>
      <c r="H31">
        <v>3.9392877360677203E-3</v>
      </c>
      <c r="I31">
        <v>1.0357089306074999E-3</v>
      </c>
      <c r="J31">
        <v>1.7112325520140901E-3</v>
      </c>
    </row>
    <row r="32" spans="2:10" x14ac:dyDescent="0.3">
      <c r="B32" t="s">
        <v>12</v>
      </c>
      <c r="C32">
        <v>4.09914639202386E-4</v>
      </c>
      <c r="D32">
        <v>1.5942578931847199E-3</v>
      </c>
      <c r="E32">
        <v>0.215334240239273</v>
      </c>
      <c r="F32">
        <v>9.0448993939917397E-4</v>
      </c>
      <c r="G32">
        <v>2.9905044663028702E-3</v>
      </c>
      <c r="H32">
        <v>1.28837721367873E-2</v>
      </c>
      <c r="I32">
        <v>4.9117276709142498E-3</v>
      </c>
      <c r="J32">
        <v>6.1099629239658197E-3</v>
      </c>
    </row>
    <row r="33" spans="2:10" x14ac:dyDescent="0.3">
      <c r="B33" t="s">
        <v>5</v>
      </c>
      <c r="C33">
        <v>1.4919805667039699E-3</v>
      </c>
      <c r="D33">
        <v>2.2390278499851298E-3</v>
      </c>
      <c r="E33">
        <v>5.9564462675847703E-4</v>
      </c>
      <c r="F33">
        <v>6.6424895549532003E-3</v>
      </c>
      <c r="G33">
        <v>3.19410278599511E-3</v>
      </c>
      <c r="H33">
        <v>9.3982393703179602E-4</v>
      </c>
      <c r="I33">
        <v>3.8082197448492802E-4</v>
      </c>
      <c r="J33">
        <v>6.0742262596935105E-4</v>
      </c>
    </row>
    <row r="34" spans="2:10" x14ac:dyDescent="0.3">
      <c r="B34" t="s">
        <v>13</v>
      </c>
      <c r="C34">
        <v>5.5265996297178201E-4</v>
      </c>
      <c r="D34">
        <v>2.4788158339193399E-3</v>
      </c>
      <c r="E34">
        <v>3.57663609369872E-3</v>
      </c>
      <c r="F34">
        <v>4.33455537625146E-3</v>
      </c>
      <c r="G34">
        <v>5.3755392398388703E-2</v>
      </c>
      <c r="H34">
        <v>2.1608853552206798E-2</v>
      </c>
      <c r="I34">
        <v>6.4260562361209E-3</v>
      </c>
      <c r="J34">
        <v>1.0333533307653299E-2</v>
      </c>
    </row>
    <row r="35" spans="2:10" x14ac:dyDescent="0.3">
      <c r="B35" t="s">
        <v>14</v>
      </c>
      <c r="C35">
        <v>6.7668128799568703E-4</v>
      </c>
      <c r="D35">
        <v>3.7805364133707301E-3</v>
      </c>
      <c r="E35">
        <v>2.5866700933597699E-2</v>
      </c>
      <c r="F35">
        <v>2.14540785625767E-3</v>
      </c>
      <c r="G35">
        <v>2.0265909975517402E-2</v>
      </c>
      <c r="H35">
        <v>0.134250819338528</v>
      </c>
      <c r="I35">
        <v>1.7103164854087999E-2</v>
      </c>
      <c r="J35">
        <v>2.3133953450025099E-2</v>
      </c>
    </row>
    <row r="36" spans="2:10" x14ac:dyDescent="0.3">
      <c r="B36" t="s">
        <v>8</v>
      </c>
      <c r="C36">
        <v>4.87226634022482E-5</v>
      </c>
      <c r="D36">
        <v>2.8066871452852899E-3</v>
      </c>
      <c r="E36">
        <v>9.3143337092729695E-3</v>
      </c>
      <c r="F36">
        <v>6.27958624593439E-4</v>
      </c>
      <c r="G36">
        <v>9.7929030105421595E-3</v>
      </c>
      <c r="H36">
        <v>2.7934696128375399E-2</v>
      </c>
      <c r="I36">
        <v>2.8812459069565199E-2</v>
      </c>
      <c r="J36">
        <v>2.6097529584798801E-2</v>
      </c>
    </row>
    <row r="37" spans="2:10" x14ac:dyDescent="0.3">
      <c r="B37" t="s">
        <v>9</v>
      </c>
      <c r="C37">
        <v>2.5740464942055502E-4</v>
      </c>
      <c r="D37">
        <v>1.93093753729385E-3</v>
      </c>
      <c r="E37">
        <v>6.84925887443299E-3</v>
      </c>
      <c r="F37">
        <v>5.6831362858965405E-4</v>
      </c>
      <c r="G37">
        <v>9.9029316698369101E-3</v>
      </c>
      <c r="H37">
        <v>3.09974289231723E-2</v>
      </c>
      <c r="I37">
        <v>2.39450247290167E-2</v>
      </c>
      <c r="J37">
        <v>0.19277579808402201</v>
      </c>
    </row>
    <row r="40" spans="2:10" x14ac:dyDescent="0.3">
      <c r="B40" t="s">
        <v>17</v>
      </c>
    </row>
    <row r="41" spans="2:10" x14ac:dyDescent="0.3">
      <c r="B41" t="s">
        <v>1</v>
      </c>
      <c r="C41" t="s">
        <v>17</v>
      </c>
    </row>
    <row r="42" spans="2:10" x14ac:dyDescent="0.3">
      <c r="B42" t="s">
        <v>10</v>
      </c>
      <c r="C42">
        <v>-1.17981325428584E-4</v>
      </c>
    </row>
    <row r="43" spans="2:10" x14ac:dyDescent="0.3">
      <c r="B43" t="s">
        <v>11</v>
      </c>
      <c r="C43">
        <v>2.0802765272881401E-3</v>
      </c>
    </row>
    <row r="44" spans="2:10" x14ac:dyDescent="0.3">
      <c r="B44" t="s">
        <v>12</v>
      </c>
      <c r="C44">
        <v>1.9082825054784001E-2</v>
      </c>
    </row>
    <row r="45" spans="2:10" x14ac:dyDescent="0.3">
      <c r="B45" t="s">
        <v>5</v>
      </c>
      <c r="C45">
        <v>2.5577888286281501E-3</v>
      </c>
    </row>
    <row r="46" spans="2:10" x14ac:dyDescent="0.3">
      <c r="B46" t="s">
        <v>13</v>
      </c>
      <c r="C46">
        <v>-6.0077862641449997E-4</v>
      </c>
    </row>
    <row r="47" spans="2:10" x14ac:dyDescent="0.3">
      <c r="B47" t="s">
        <v>14</v>
      </c>
      <c r="C47">
        <v>6.1344249223268497E-3</v>
      </c>
    </row>
    <row r="48" spans="2:10" x14ac:dyDescent="0.3">
      <c r="B48" t="s">
        <v>8</v>
      </c>
      <c r="C48">
        <v>-2.2791737139620301E-2</v>
      </c>
    </row>
    <row r="49" spans="2:3" x14ac:dyDescent="0.3">
      <c r="B49" t="s">
        <v>9</v>
      </c>
      <c r="C49">
        <v>-6.34481824156385E-3</v>
      </c>
    </row>
  </sheetData>
  <mergeCells count="2">
    <mergeCell ref="C3:K3"/>
    <mergeCell ref="A5:A1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topLeftCell="A22" workbookViewId="0">
      <selection sqref="A1:XFD1048576"/>
    </sheetView>
  </sheetViews>
  <sheetFormatPr baseColWidth="10" defaultRowHeight="14.4" x14ac:dyDescent="0.3"/>
  <cols>
    <col min="1" max="1" width="1.6640625" bestFit="1" customWidth="1"/>
    <col min="2" max="2" width="42.109375" bestFit="1" customWidth="1"/>
    <col min="3" max="3" width="15.109375" bestFit="1" customWidth="1"/>
    <col min="4" max="4" width="13.88671875" bestFit="1" customWidth="1"/>
    <col min="5" max="5" width="18.21875" bestFit="1" customWidth="1"/>
    <col min="6" max="6" width="15.77734375" bestFit="1" customWidth="1"/>
    <col min="7" max="7" width="22.21875" bestFit="1" customWidth="1"/>
    <col min="8" max="8" width="19.6640625" bestFit="1" customWidth="1"/>
    <col min="9" max="9" width="13.88671875" bestFit="1" customWidth="1"/>
    <col min="10" max="10" width="14.88671875" bestFit="1" customWidth="1"/>
    <col min="11" max="11" width="10.109375" bestFit="1" customWidth="1"/>
    <col min="12" max="12" width="11" bestFit="1" customWidth="1"/>
  </cols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27" t="s">
        <v>10</v>
      </c>
      <c r="C4" s="28">
        <v>179719</v>
      </c>
      <c r="D4" s="28">
        <v>11050</v>
      </c>
      <c r="E4" s="28">
        <v>27488</v>
      </c>
      <c r="F4" s="28">
        <v>38816</v>
      </c>
      <c r="G4" s="28">
        <v>14612</v>
      </c>
      <c r="H4" s="29">
        <v>24666</v>
      </c>
      <c r="I4" s="28">
        <v>5040</v>
      </c>
      <c r="J4" s="30">
        <v>14371</v>
      </c>
      <c r="K4" s="15">
        <f>SUM(C4:J4)</f>
        <v>315762</v>
      </c>
      <c r="L4" s="18">
        <f>K4/$K$12</f>
        <v>7.6911784403233636E-3</v>
      </c>
    </row>
    <row r="5" spans="1:12" ht="15" customHeight="1" thickBot="1" x14ac:dyDescent="0.35">
      <c r="A5" s="49"/>
      <c r="B5" s="31" t="s">
        <v>11</v>
      </c>
      <c r="C5" s="23">
        <v>19960</v>
      </c>
      <c r="D5" s="23">
        <v>680453</v>
      </c>
      <c r="E5" s="23">
        <v>64742</v>
      </c>
      <c r="F5" s="23">
        <v>82544</v>
      </c>
      <c r="G5" s="23">
        <v>119787</v>
      </c>
      <c r="H5" s="24">
        <v>122853</v>
      </c>
      <c r="I5" s="23">
        <v>52630</v>
      </c>
      <c r="J5" s="32">
        <v>102633</v>
      </c>
      <c r="K5" s="15">
        <f t="shared" ref="K5:K11" si="0">SUM(C5:J5)</f>
        <v>1245602</v>
      </c>
      <c r="L5" s="18">
        <f t="shared" ref="L5:L12" si="1">K5/$K$12</f>
        <v>3.0339772511016723E-2</v>
      </c>
    </row>
    <row r="6" spans="1:12" ht="15" customHeight="1" thickBot="1" x14ac:dyDescent="0.35">
      <c r="A6" s="49"/>
      <c r="B6" s="31" t="s">
        <v>12</v>
      </c>
      <c r="C6" s="23">
        <v>31556</v>
      </c>
      <c r="D6" s="23">
        <v>56390</v>
      </c>
      <c r="E6" s="23">
        <v>9160790</v>
      </c>
      <c r="F6" s="23">
        <v>37962</v>
      </c>
      <c r="G6" s="23">
        <v>112752</v>
      </c>
      <c r="H6" s="24">
        <v>524820</v>
      </c>
      <c r="I6" s="23">
        <v>196023</v>
      </c>
      <c r="J6" s="32">
        <v>241904</v>
      </c>
      <c r="K6" s="15">
        <f t="shared" si="0"/>
        <v>10362197</v>
      </c>
      <c r="L6" s="18">
        <f t="shared" si="1"/>
        <v>0.2523973947491574</v>
      </c>
    </row>
    <row r="7" spans="1:12" ht="15" customHeight="1" thickBot="1" x14ac:dyDescent="0.35">
      <c r="A7" s="49"/>
      <c r="B7" s="31" t="s">
        <v>5</v>
      </c>
      <c r="C7" s="23">
        <v>55158</v>
      </c>
      <c r="D7" s="23">
        <v>72165</v>
      </c>
      <c r="E7" s="23">
        <v>34044</v>
      </c>
      <c r="F7" s="23">
        <v>258969</v>
      </c>
      <c r="G7" s="23">
        <v>210786</v>
      </c>
      <c r="H7" s="24">
        <v>73891</v>
      </c>
      <c r="I7" s="23">
        <v>11348</v>
      </c>
      <c r="J7" s="32">
        <v>38822</v>
      </c>
      <c r="K7" s="15">
        <f t="shared" si="0"/>
        <v>755183</v>
      </c>
      <c r="L7" s="18">
        <f t="shared" si="1"/>
        <v>1.8394383136978859E-2</v>
      </c>
    </row>
    <row r="8" spans="1:12" ht="15" customHeight="1" thickBot="1" x14ac:dyDescent="0.35">
      <c r="A8" s="49"/>
      <c r="B8" s="31" t="s">
        <v>13</v>
      </c>
      <c r="C8" s="23">
        <v>16478</v>
      </c>
      <c r="D8" s="23">
        <v>116772</v>
      </c>
      <c r="E8" s="23">
        <v>149042</v>
      </c>
      <c r="F8" s="23">
        <v>175160</v>
      </c>
      <c r="G8" s="23">
        <v>2193687</v>
      </c>
      <c r="H8" s="24">
        <v>791535</v>
      </c>
      <c r="I8" s="23">
        <v>251633</v>
      </c>
      <c r="J8" s="32">
        <v>383271</v>
      </c>
      <c r="K8" s="15">
        <f t="shared" si="0"/>
        <v>4077578</v>
      </c>
      <c r="L8" s="18">
        <f t="shared" si="1"/>
        <v>9.9319677486008007E-2</v>
      </c>
    </row>
    <row r="9" spans="1:12" ht="15" customHeight="1" thickBot="1" x14ac:dyDescent="0.35">
      <c r="A9" s="49"/>
      <c r="B9" s="31" t="s">
        <v>14</v>
      </c>
      <c r="C9" s="23">
        <v>16754</v>
      </c>
      <c r="D9" s="23">
        <v>153809</v>
      </c>
      <c r="E9" s="23">
        <v>1092927</v>
      </c>
      <c r="F9" s="23">
        <v>58770</v>
      </c>
      <c r="G9" s="23">
        <v>752975</v>
      </c>
      <c r="H9" s="24">
        <v>5296517</v>
      </c>
      <c r="I9" s="23">
        <v>719115</v>
      </c>
      <c r="J9" s="32">
        <v>1178944</v>
      </c>
      <c r="K9" s="15">
        <f t="shared" si="0"/>
        <v>9269811</v>
      </c>
      <c r="L9" s="18">
        <f t="shared" si="1"/>
        <v>0.22578958363917243</v>
      </c>
    </row>
    <row r="10" spans="1:12" ht="15" customHeight="1" thickBot="1" x14ac:dyDescent="0.35">
      <c r="A10" s="49"/>
      <c r="B10" s="33" t="s">
        <v>8</v>
      </c>
      <c r="C10" s="25">
        <v>434</v>
      </c>
      <c r="D10" s="25">
        <v>70846</v>
      </c>
      <c r="E10" s="25">
        <v>397552</v>
      </c>
      <c r="F10" s="25">
        <v>13940</v>
      </c>
      <c r="G10" s="25">
        <v>398545</v>
      </c>
      <c r="H10" s="26">
        <v>1017213</v>
      </c>
      <c r="I10" s="23">
        <v>1143092</v>
      </c>
      <c r="J10" s="32">
        <v>1053379</v>
      </c>
      <c r="K10" s="15">
        <f t="shared" si="0"/>
        <v>4095001</v>
      </c>
      <c r="L10" s="18">
        <f t="shared" si="1"/>
        <v>9.9744058513382278E-2</v>
      </c>
    </row>
    <row r="11" spans="1:12" ht="15" thickBot="1" x14ac:dyDescent="0.35">
      <c r="A11" s="49"/>
      <c r="B11" s="31" t="s">
        <v>9</v>
      </c>
      <c r="C11" s="23">
        <v>15500</v>
      </c>
      <c r="D11" s="23">
        <v>106956</v>
      </c>
      <c r="E11" s="23">
        <v>326228</v>
      </c>
      <c r="F11" s="23">
        <v>26667</v>
      </c>
      <c r="G11" s="23">
        <v>387309</v>
      </c>
      <c r="H11" s="23">
        <v>1254752</v>
      </c>
      <c r="I11" s="23">
        <v>876271</v>
      </c>
      <c r="J11" s="32">
        <v>7940270</v>
      </c>
      <c r="K11" s="15">
        <f t="shared" si="0"/>
        <v>10933953</v>
      </c>
      <c r="L11" s="18">
        <f t="shared" si="1"/>
        <v>0.26632395152396099</v>
      </c>
    </row>
    <row r="12" spans="1:12" ht="15" thickBot="1" x14ac:dyDescent="0.35">
      <c r="A12" s="50"/>
      <c r="B12" s="34" t="s">
        <v>18</v>
      </c>
      <c r="C12" s="35">
        <f>SUM(C4:C11)</f>
        <v>335559</v>
      </c>
      <c r="D12" s="35">
        <f t="shared" ref="D12:J12" si="2">SUM(D4:D11)</f>
        <v>1268441</v>
      </c>
      <c r="E12" s="35">
        <f t="shared" si="2"/>
        <v>11252813</v>
      </c>
      <c r="F12" s="35">
        <f t="shared" si="2"/>
        <v>692828</v>
      </c>
      <c r="G12" s="35">
        <f t="shared" si="2"/>
        <v>4190453</v>
      </c>
      <c r="H12" s="35">
        <f t="shared" si="2"/>
        <v>9106247</v>
      </c>
      <c r="I12" s="35">
        <f t="shared" si="2"/>
        <v>3255152</v>
      </c>
      <c r="J12" s="36">
        <f t="shared" si="2"/>
        <v>10953594</v>
      </c>
      <c r="K12" s="22">
        <f>SUM(K4:K11)</f>
        <v>41055087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8.1733842142387853E-3</v>
      </c>
      <c r="D13" s="18">
        <f t="shared" ref="D13:K13" si="3">D12/$K$12</f>
        <v>3.0896073853162218E-2</v>
      </c>
      <c r="E13" s="18">
        <f t="shared" si="3"/>
        <v>0.2740905895534943</v>
      </c>
      <c r="F13" s="18">
        <f t="shared" si="3"/>
        <v>1.6875570133367396E-2</v>
      </c>
      <c r="G13" s="18">
        <f t="shared" si="3"/>
        <v>0.10206903227363762</v>
      </c>
      <c r="H13" s="18">
        <f t="shared" si="3"/>
        <v>0.22180557064706743</v>
      </c>
      <c r="I13" s="18">
        <f t="shared" si="3"/>
        <v>7.9287421799885599E-2</v>
      </c>
      <c r="J13" s="18">
        <f t="shared" si="3"/>
        <v>0.26680235752514664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0.56915968355913604</v>
      </c>
      <c r="D16" s="23">
        <v>3.4994711206541601E-2</v>
      </c>
      <c r="E16" s="23">
        <v>8.7052906936236796E-2</v>
      </c>
      <c r="F16" s="23">
        <v>0.122928028071776</v>
      </c>
      <c r="G16" s="23">
        <v>4.6275359289591499E-2</v>
      </c>
      <c r="H16" s="24">
        <v>7.8115796074258503E-2</v>
      </c>
      <c r="I16" s="23">
        <v>1.5961388640811799E-2</v>
      </c>
      <c r="J16" s="32">
        <v>4.5512126221647901E-2</v>
      </c>
    </row>
    <row r="17" spans="2:10" ht="29.4" thickBot="1" x14ac:dyDescent="0.35">
      <c r="B17" s="31" t="s">
        <v>11</v>
      </c>
      <c r="C17" s="23">
        <v>1.60243801792226E-2</v>
      </c>
      <c r="D17" s="23">
        <v>0.54628444719902503</v>
      </c>
      <c r="E17" s="23">
        <v>5.1976474026213797E-2</v>
      </c>
      <c r="F17" s="23">
        <v>6.6268358592873194E-2</v>
      </c>
      <c r="G17" s="23">
        <v>9.6167957341109001E-2</v>
      </c>
      <c r="H17" s="24">
        <v>9.8629417743388306E-2</v>
      </c>
      <c r="I17" s="23">
        <v>4.2252661765154499E-2</v>
      </c>
      <c r="J17" s="32">
        <v>8.2396303153013606E-2</v>
      </c>
    </row>
    <row r="18" spans="2:10" ht="29.4" thickBot="1" x14ac:dyDescent="0.35">
      <c r="B18" s="31" t="s">
        <v>12</v>
      </c>
      <c r="C18" s="23">
        <v>3.04530014243119E-3</v>
      </c>
      <c r="D18" s="23">
        <v>5.44189615387548E-3</v>
      </c>
      <c r="E18" s="23">
        <v>0.88405866053309001</v>
      </c>
      <c r="F18" s="23">
        <v>3.66350880995604E-3</v>
      </c>
      <c r="G18" s="23">
        <v>1.0881090178077099E-2</v>
      </c>
      <c r="H18" s="24">
        <v>5.0647560551107099E-2</v>
      </c>
      <c r="I18" s="23">
        <v>1.8917127323481699E-2</v>
      </c>
      <c r="J18" s="32">
        <v>2.33448563079818E-2</v>
      </c>
    </row>
    <row r="19" spans="2:10" ht="29.4" thickBot="1" x14ac:dyDescent="0.35">
      <c r="B19" s="31" t="s">
        <v>5</v>
      </c>
      <c r="C19" s="23">
        <v>7.3039250089051294E-2</v>
      </c>
      <c r="D19" s="23">
        <v>9.5559619324057904E-2</v>
      </c>
      <c r="E19" s="23">
        <v>4.5080463940528302E-2</v>
      </c>
      <c r="F19" s="23">
        <v>0.34292217912744299</v>
      </c>
      <c r="G19" s="23">
        <v>0.27911910093315101</v>
      </c>
      <c r="H19" s="24">
        <v>9.7845158061026297E-2</v>
      </c>
      <c r="I19" s="23">
        <v>1.50268213135094E-2</v>
      </c>
      <c r="J19" s="32">
        <v>5.1407407211232201E-2</v>
      </c>
    </row>
    <row r="20" spans="2:10" ht="43.8" thickBot="1" x14ac:dyDescent="0.35">
      <c r="B20" s="31" t="s">
        <v>13</v>
      </c>
      <c r="C20" s="23">
        <v>4.0411244125802097E-3</v>
      </c>
      <c r="D20" s="23">
        <v>2.8637588293835201E-2</v>
      </c>
      <c r="E20" s="23">
        <v>3.6551599993918001E-2</v>
      </c>
      <c r="F20" s="23">
        <v>4.2956872927997901E-2</v>
      </c>
      <c r="G20" s="23">
        <v>0.53798774664764204</v>
      </c>
      <c r="H20" s="24">
        <v>0.19411891078478399</v>
      </c>
      <c r="I20" s="23">
        <v>6.1711388476198399E-2</v>
      </c>
      <c r="J20" s="32">
        <v>9.3994768463043499E-2</v>
      </c>
    </row>
    <row r="21" spans="2:10" ht="29.4" thickBot="1" x14ac:dyDescent="0.35">
      <c r="B21" s="33" t="s">
        <v>14</v>
      </c>
      <c r="C21" s="25">
        <v>1.8073723401696099E-3</v>
      </c>
      <c r="D21" s="25">
        <v>1.65924634277873E-2</v>
      </c>
      <c r="E21" s="25">
        <v>0.11790175657302999</v>
      </c>
      <c r="F21" s="25">
        <v>6.3399350860551497E-3</v>
      </c>
      <c r="G21" s="25">
        <v>8.1228732710947396E-2</v>
      </c>
      <c r="H21" s="26">
        <v>0.57137270652012195</v>
      </c>
      <c r="I21" s="23">
        <v>7.7576015303871898E-2</v>
      </c>
      <c r="J21" s="32">
        <v>0.12718101803801601</v>
      </c>
    </row>
    <row r="22" spans="2:10" ht="29.4" thickBot="1" x14ac:dyDescent="0.35">
      <c r="B22" s="31" t="s">
        <v>8</v>
      </c>
      <c r="C22" s="23">
        <v>1.0598288010186099E-4</v>
      </c>
      <c r="D22" s="23">
        <v>1.73006062757982E-2</v>
      </c>
      <c r="E22" s="23">
        <v>9.7082271774781001E-2</v>
      </c>
      <c r="F22" s="23">
        <v>3.404150572857E-3</v>
      </c>
      <c r="G22" s="23">
        <v>9.73247625580555E-2</v>
      </c>
      <c r="H22" s="23">
        <v>0.248403602343443</v>
      </c>
      <c r="I22" s="23">
        <v>0.27914327737648897</v>
      </c>
      <c r="J22" s="32">
        <v>0.25723534621847499</v>
      </c>
    </row>
    <row r="23" spans="2:10" ht="15" thickBot="1" x14ac:dyDescent="0.35">
      <c r="B23" s="34" t="s">
        <v>9</v>
      </c>
      <c r="C23" s="35">
        <v>1.4176025816097801E-3</v>
      </c>
      <c r="D23" s="35">
        <v>9.7820065624939102E-3</v>
      </c>
      <c r="E23" s="35">
        <v>2.9836235806025499E-2</v>
      </c>
      <c r="F23" s="35">
        <v>2.4389166479863202E-3</v>
      </c>
      <c r="G23" s="35">
        <v>3.5422596018109799E-2</v>
      </c>
      <c r="H23" s="35">
        <v>0.114757398353551</v>
      </c>
      <c r="I23" s="35">
        <v>8.0142195599340896E-2</v>
      </c>
      <c r="J23" s="36">
        <v>0.72620304843088301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4.3775086872912998E-3</v>
      </c>
      <c r="D28">
        <v>2.6915056835709501E-4</v>
      </c>
      <c r="E28">
        <v>6.6953944099546099E-4</v>
      </c>
      <c r="F28">
        <v>9.4546139921710597E-4</v>
      </c>
      <c r="G28">
        <v>3.5591204568632398E-4</v>
      </c>
      <c r="H28">
        <v>6.0080252661503305E-4</v>
      </c>
      <c r="I28">
        <v>1.22761888191834E-4</v>
      </c>
      <c r="J28">
        <v>3.5004188396921401E-4</v>
      </c>
    </row>
    <row r="29" spans="2:10" x14ac:dyDescent="0.3">
      <c r="B29" t="s">
        <v>11</v>
      </c>
      <c r="C29">
        <v>4.8617604926765799E-4</v>
      </c>
      <c r="D29">
        <v>1.6574145854324901E-2</v>
      </c>
      <c r="E29">
        <v>1.5769543978800999E-3</v>
      </c>
      <c r="F29">
        <v>2.0105669243862499E-3</v>
      </c>
      <c r="G29">
        <v>2.91771394857841E-3</v>
      </c>
      <c r="H29">
        <v>2.9923940972284399E-3</v>
      </c>
      <c r="I29">
        <v>1.28193614593972E-3</v>
      </c>
      <c r="J29">
        <v>2.4998850934112001E-3</v>
      </c>
    </row>
    <row r="30" spans="2:10" x14ac:dyDescent="0.3">
      <c r="B30" t="s">
        <v>12</v>
      </c>
      <c r="C30">
        <v>7.6862582217886903E-4</v>
      </c>
      <c r="D30">
        <v>1.3735204117336301E-3</v>
      </c>
      <c r="E30">
        <v>0.22313410272398199</v>
      </c>
      <c r="F30">
        <v>9.2466007927348903E-4</v>
      </c>
      <c r="G30">
        <v>2.74635881297731E-3</v>
      </c>
      <c r="H30">
        <v>1.2783312333499599E-2</v>
      </c>
      <c r="I30">
        <v>4.7746336525848797E-3</v>
      </c>
      <c r="J30">
        <v>5.8921809129280399E-3</v>
      </c>
    </row>
    <row r="31" spans="2:10" x14ac:dyDescent="0.3">
      <c r="B31" t="s">
        <v>5</v>
      </c>
      <c r="C31">
        <v>1.3435119501756299E-3</v>
      </c>
      <c r="D31">
        <v>1.75776025027057E-3</v>
      </c>
      <c r="E31">
        <v>8.29227325714838E-4</v>
      </c>
      <c r="F31">
        <v>6.3078419490378897E-3</v>
      </c>
      <c r="G31">
        <v>5.1342236834134598E-3</v>
      </c>
      <c r="H31">
        <v>1.79980132547277E-3</v>
      </c>
      <c r="I31">
        <v>2.7640910857161299E-4</v>
      </c>
      <c r="J31">
        <v>9.4560754432209597E-4</v>
      </c>
    </row>
    <row r="32" spans="2:10" x14ac:dyDescent="0.3">
      <c r="B32" t="s">
        <v>13</v>
      </c>
      <c r="C32">
        <v>4.013631733383E-4</v>
      </c>
      <c r="D32">
        <v>2.8442760333207899E-3</v>
      </c>
      <c r="E32">
        <v>3.6302931229935001E-3</v>
      </c>
      <c r="F32">
        <v>4.2664627650161801E-3</v>
      </c>
      <c r="G32">
        <v>5.3432769488468E-2</v>
      </c>
      <c r="H32">
        <v>1.9279827613079999E-2</v>
      </c>
      <c r="I32">
        <v>6.1291552006697697E-3</v>
      </c>
      <c r="J32">
        <v>9.3355300891214792E-3</v>
      </c>
    </row>
    <row r="33" spans="2:10" x14ac:dyDescent="0.3">
      <c r="B33" t="s">
        <v>14</v>
      </c>
      <c r="C33">
        <v>4.0808584816785299E-4</v>
      </c>
      <c r="D33">
        <v>3.74640540890828E-3</v>
      </c>
      <c r="E33">
        <v>2.6620988526951599E-2</v>
      </c>
      <c r="F33">
        <v>1.4314913033797701E-3</v>
      </c>
      <c r="G33">
        <v>1.8340601738342399E-2</v>
      </c>
      <c r="H33">
        <v>0.12901000550796499</v>
      </c>
      <c r="I33">
        <v>1.75158561958473E-2</v>
      </c>
      <c r="J33">
        <v>2.87161491096097E-2</v>
      </c>
    </row>
    <row r="34" spans="2:10" x14ac:dyDescent="0.3">
      <c r="B34" t="s">
        <v>8</v>
      </c>
      <c r="C34">
        <v>1.0571162594296801E-5</v>
      </c>
      <c r="D34">
        <v>1.7256326846902101E-3</v>
      </c>
      <c r="E34">
        <v>9.68337979651584E-3</v>
      </c>
      <c r="F34">
        <v>3.39543793927413E-4</v>
      </c>
      <c r="G34">
        <v>9.7075668113917307E-3</v>
      </c>
      <c r="H34">
        <v>2.4776783447079301E-2</v>
      </c>
      <c r="I34">
        <v>2.7842883392257801E-2</v>
      </c>
      <c r="J34">
        <v>2.5657697424925699E-2</v>
      </c>
    </row>
    <row r="35" spans="2:10" x14ac:dyDescent="0.3">
      <c r="B35" t="s">
        <v>9</v>
      </c>
      <c r="C35">
        <v>3.7754152122488499E-4</v>
      </c>
      <c r="D35">
        <v>2.6051826415566998E-3</v>
      </c>
      <c r="E35">
        <v>7.9461042184614094E-3</v>
      </c>
      <c r="F35">
        <v>6.4954191912929102E-4</v>
      </c>
      <c r="G35">
        <v>9.4338857447799403E-3</v>
      </c>
      <c r="H35">
        <v>3.0562643796126901E-2</v>
      </c>
      <c r="I35">
        <v>2.13437862158227E-2</v>
      </c>
      <c r="J35">
        <v>0.19340526546685899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4.8220577391542202E-4</v>
      </c>
    </row>
    <row r="41" spans="2:10" x14ac:dyDescent="0.3">
      <c r="B41" t="s">
        <v>11</v>
      </c>
      <c r="C41">
        <v>5.5630134214549503E-4</v>
      </c>
    </row>
    <row r="42" spans="2:10" x14ac:dyDescent="0.3">
      <c r="B42" t="s">
        <v>12</v>
      </c>
      <c r="C42">
        <v>2.1693194804336902E-2</v>
      </c>
    </row>
    <row r="43" spans="2:10" x14ac:dyDescent="0.3">
      <c r="B43" t="s">
        <v>5</v>
      </c>
      <c r="C43">
        <v>-1.51881300361146E-3</v>
      </c>
    </row>
    <row r="44" spans="2:10" x14ac:dyDescent="0.3">
      <c r="B44" t="s">
        <v>13</v>
      </c>
      <c r="C44">
        <v>2.7493547876296098E-3</v>
      </c>
    </row>
    <row r="45" spans="2:10" x14ac:dyDescent="0.3">
      <c r="B45" t="s">
        <v>14</v>
      </c>
      <c r="C45">
        <v>-3.9840129921049896E-3</v>
      </c>
    </row>
    <row r="46" spans="2:10" x14ac:dyDescent="0.3">
      <c r="B46" t="s">
        <v>8</v>
      </c>
      <c r="C46">
        <v>-2.0456636713496699E-2</v>
      </c>
    </row>
    <row r="47" spans="2:10" x14ac:dyDescent="0.3">
      <c r="B47" t="s">
        <v>9</v>
      </c>
      <c r="C47">
        <v>4.7840600118564898E-4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topLeftCell="A13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161063</v>
      </c>
      <c r="D4" s="4">
        <v>19102</v>
      </c>
      <c r="E4" s="4">
        <v>24318</v>
      </c>
      <c r="F4" s="4">
        <v>49418</v>
      </c>
      <c r="G4" s="4">
        <v>21036</v>
      </c>
      <c r="H4" s="5">
        <v>35584</v>
      </c>
      <c r="I4" s="4">
        <v>4176</v>
      </c>
      <c r="J4" s="4">
        <v>11288</v>
      </c>
      <c r="K4" s="15">
        <f>SUM(C4:J4)</f>
        <v>325985</v>
      </c>
      <c r="L4" s="18">
        <f>K4/$K$12</f>
        <v>7.8135859152051249E-3</v>
      </c>
    </row>
    <row r="5" spans="1:12" ht="29.4" thickBot="1" x14ac:dyDescent="0.35">
      <c r="A5" s="49"/>
      <c r="B5" s="13" t="s">
        <v>11</v>
      </c>
      <c r="C5" s="4">
        <v>14592</v>
      </c>
      <c r="D5" s="4">
        <v>558380</v>
      </c>
      <c r="E5" s="4">
        <v>73402</v>
      </c>
      <c r="F5" s="4">
        <v>78795</v>
      </c>
      <c r="G5" s="4">
        <v>154448</v>
      </c>
      <c r="H5" s="5">
        <v>116627</v>
      </c>
      <c r="I5" s="4">
        <v>47025</v>
      </c>
      <c r="J5" s="4">
        <v>71332</v>
      </c>
      <c r="K5" s="15">
        <f t="shared" ref="K5:K11" si="0">SUM(C5:J5)</f>
        <v>1114601</v>
      </c>
      <c r="L5" s="18">
        <f t="shared" ref="L5:L12" si="1">K5/$K$12</f>
        <v>2.6716047286450443E-2</v>
      </c>
    </row>
    <row r="6" spans="1:12" ht="29.4" thickBot="1" x14ac:dyDescent="0.35">
      <c r="A6" s="49"/>
      <c r="B6" s="13" t="s">
        <v>12</v>
      </c>
      <c r="C6" s="4">
        <v>33564</v>
      </c>
      <c r="D6" s="4">
        <v>62408</v>
      </c>
      <c r="E6" s="4">
        <v>10087836</v>
      </c>
      <c r="F6" s="4">
        <v>55666</v>
      </c>
      <c r="G6" s="4">
        <v>140463</v>
      </c>
      <c r="H6" s="5">
        <v>565680</v>
      </c>
      <c r="I6" s="4">
        <v>211696</v>
      </c>
      <c r="J6" s="4">
        <v>221160</v>
      </c>
      <c r="K6" s="15">
        <f t="shared" si="0"/>
        <v>11378473</v>
      </c>
      <c r="L6" s="18">
        <f t="shared" si="1"/>
        <v>0.27273241520113445</v>
      </c>
    </row>
    <row r="7" spans="1:12" ht="29.4" thickBot="1" x14ac:dyDescent="0.35">
      <c r="A7" s="49"/>
      <c r="B7" s="13" t="s">
        <v>5</v>
      </c>
      <c r="C7" s="4">
        <v>46620</v>
      </c>
      <c r="D7" s="4">
        <v>48478</v>
      </c>
      <c r="E7" s="4">
        <v>34600</v>
      </c>
      <c r="F7" s="4">
        <v>240211</v>
      </c>
      <c r="G7" s="4">
        <v>186200</v>
      </c>
      <c r="H7" s="5">
        <v>62588</v>
      </c>
      <c r="I7" s="4">
        <v>10386</v>
      </c>
      <c r="J7" s="4">
        <v>33584</v>
      </c>
      <c r="K7" s="15">
        <f t="shared" si="0"/>
        <v>662667</v>
      </c>
      <c r="L7" s="18">
        <f t="shared" si="1"/>
        <v>1.5883569911717518E-2</v>
      </c>
    </row>
    <row r="8" spans="1:12" ht="43.8" thickBot="1" x14ac:dyDescent="0.35">
      <c r="A8" s="49"/>
      <c r="B8" s="13" t="s">
        <v>13</v>
      </c>
      <c r="C8" s="4">
        <v>12836</v>
      </c>
      <c r="D8" s="4">
        <v>98340</v>
      </c>
      <c r="E8" s="4">
        <v>177746</v>
      </c>
      <c r="F8" s="4">
        <v>197291</v>
      </c>
      <c r="G8" s="4">
        <v>2233836</v>
      </c>
      <c r="H8" s="5">
        <v>694700</v>
      </c>
      <c r="I8" s="4">
        <v>227361</v>
      </c>
      <c r="J8" s="4">
        <v>403281</v>
      </c>
      <c r="K8" s="15">
        <f t="shared" si="0"/>
        <v>4045391</v>
      </c>
      <c r="L8" s="18">
        <f t="shared" si="1"/>
        <v>9.6964615362969395E-2</v>
      </c>
    </row>
    <row r="9" spans="1:12" ht="29.4" thickBot="1" x14ac:dyDescent="0.35">
      <c r="A9" s="49"/>
      <c r="B9" s="8" t="s">
        <v>14</v>
      </c>
      <c r="C9" s="6">
        <v>17480</v>
      </c>
      <c r="D9" s="6">
        <v>114794</v>
      </c>
      <c r="E9" s="6">
        <v>1268422</v>
      </c>
      <c r="F9" s="6">
        <v>82912</v>
      </c>
      <c r="G9" s="6">
        <v>779995</v>
      </c>
      <c r="H9" s="7">
        <v>5217792</v>
      </c>
      <c r="I9" s="4">
        <v>610224</v>
      </c>
      <c r="J9" s="4">
        <v>1096567</v>
      </c>
      <c r="K9" s="15">
        <f t="shared" si="0"/>
        <v>9188186</v>
      </c>
      <c r="L9" s="18">
        <f t="shared" si="1"/>
        <v>0.2202330804051871</v>
      </c>
    </row>
    <row r="10" spans="1:12" ht="29.4" thickBot="1" x14ac:dyDescent="0.35">
      <c r="A10" s="49"/>
      <c r="B10" s="13" t="s">
        <v>8</v>
      </c>
      <c r="C10" s="4">
        <v>748</v>
      </c>
      <c r="D10" s="4">
        <v>43589</v>
      </c>
      <c r="E10" s="4">
        <v>400882</v>
      </c>
      <c r="F10" s="4">
        <v>8902</v>
      </c>
      <c r="G10" s="4">
        <v>323698</v>
      </c>
      <c r="H10" s="4">
        <v>925676</v>
      </c>
      <c r="I10" s="4">
        <v>976534</v>
      </c>
      <c r="J10" s="4">
        <v>819688</v>
      </c>
      <c r="K10" s="15">
        <f t="shared" si="0"/>
        <v>3499717</v>
      </c>
      <c r="L10" s="18">
        <f t="shared" si="1"/>
        <v>8.3885269133254406E-2</v>
      </c>
    </row>
    <row r="11" spans="1:12" ht="15" thickBot="1" x14ac:dyDescent="0.35">
      <c r="A11" s="49"/>
      <c r="B11" s="13" t="s">
        <v>9</v>
      </c>
      <c r="C11" s="4">
        <v>7762</v>
      </c>
      <c r="D11" s="4">
        <v>96582</v>
      </c>
      <c r="E11" s="4">
        <v>372774</v>
      </c>
      <c r="F11" s="4">
        <v>37406</v>
      </c>
      <c r="G11" s="4">
        <v>463945</v>
      </c>
      <c r="H11" s="4">
        <v>1470957</v>
      </c>
      <c r="I11" s="4">
        <v>1003727</v>
      </c>
      <c r="J11" s="4">
        <v>8052108</v>
      </c>
      <c r="K11" s="15">
        <f t="shared" si="0"/>
        <v>11505261</v>
      </c>
      <c r="L11" s="18">
        <f t="shared" si="1"/>
        <v>0.27577141678408157</v>
      </c>
    </row>
    <row r="12" spans="1:12" ht="15" thickBot="1" x14ac:dyDescent="0.35">
      <c r="A12" s="50"/>
      <c r="B12" s="20" t="s">
        <v>18</v>
      </c>
      <c r="C12" s="21">
        <f>SUM(C4:C11)</f>
        <v>294665</v>
      </c>
      <c r="D12" s="21">
        <f t="shared" ref="D12:J12" si="2">SUM(D4:D11)</f>
        <v>1041673</v>
      </c>
      <c r="E12" s="21">
        <f t="shared" si="2"/>
        <v>12439980</v>
      </c>
      <c r="F12" s="21">
        <f t="shared" si="2"/>
        <v>750601</v>
      </c>
      <c r="G12" s="21">
        <f t="shared" si="2"/>
        <v>4303621</v>
      </c>
      <c r="H12" s="21">
        <f t="shared" si="2"/>
        <v>9089604</v>
      </c>
      <c r="I12" s="21">
        <f t="shared" si="2"/>
        <v>3091129</v>
      </c>
      <c r="J12" s="21">
        <f t="shared" si="2"/>
        <v>10709008</v>
      </c>
      <c r="K12" s="22">
        <f>SUM(K4:K11)</f>
        <v>41720281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7.0628718919702391E-3</v>
      </c>
      <c r="D13" s="18">
        <f t="shared" ref="D13:K13" si="3">D12/$K$12</f>
        <v>2.4968024544225864E-2</v>
      </c>
      <c r="E13" s="18">
        <f t="shared" si="3"/>
        <v>0.29817584402176006</v>
      </c>
      <c r="F13" s="18">
        <f t="shared" si="3"/>
        <v>1.7991273836338733E-2</v>
      </c>
      <c r="G13" s="18">
        <f t="shared" si="3"/>
        <v>0.10315417098940441</v>
      </c>
      <c r="H13" s="18">
        <f t="shared" si="3"/>
        <v>0.2178701528879923</v>
      </c>
      <c r="I13" s="18">
        <f t="shared" si="3"/>
        <v>7.4091758873819663E-2</v>
      </c>
      <c r="J13" s="18">
        <f t="shared" si="3"/>
        <v>0.25668590295448873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0.49408101599766902</v>
      </c>
      <c r="D16" s="23">
        <v>5.8597788241790301E-2</v>
      </c>
      <c r="E16" s="23">
        <v>7.4598524471984895E-2</v>
      </c>
      <c r="F16" s="23">
        <v>0.151595932328175</v>
      </c>
      <c r="G16" s="23">
        <v>6.4530576560271197E-2</v>
      </c>
      <c r="H16" s="24">
        <v>0.10915839685875101</v>
      </c>
      <c r="I16" s="23">
        <v>1.2810405386750901E-2</v>
      </c>
      <c r="J16" s="32">
        <v>3.4627360154608301E-2</v>
      </c>
    </row>
    <row r="17" spans="2:10" ht="29.4" thickBot="1" x14ac:dyDescent="0.35">
      <c r="B17" s="31" t="s">
        <v>11</v>
      </c>
      <c r="C17" s="23">
        <v>1.30916803412163E-2</v>
      </c>
      <c r="D17" s="23">
        <v>0.50096850801318105</v>
      </c>
      <c r="E17" s="23">
        <v>6.58549561681714E-2</v>
      </c>
      <c r="F17" s="23">
        <v>7.0693458914894203E-2</v>
      </c>
      <c r="G17" s="23">
        <v>0.13856797185719399</v>
      </c>
      <c r="H17" s="24">
        <v>0.10463564988726901</v>
      </c>
      <c r="I17" s="23">
        <v>4.2189985474622799E-2</v>
      </c>
      <c r="J17" s="32">
        <v>6.3997789343451197E-2</v>
      </c>
    </row>
    <row r="18" spans="2:10" ht="29.4" thickBot="1" x14ac:dyDescent="0.35">
      <c r="B18" s="31" t="s">
        <v>12</v>
      </c>
      <c r="C18" s="23">
        <v>2.9497806955291802E-3</v>
      </c>
      <c r="D18" s="23">
        <v>5.4847429879211398E-3</v>
      </c>
      <c r="E18" s="23">
        <v>0.88657203826910702</v>
      </c>
      <c r="F18" s="23">
        <v>4.89222059937217E-3</v>
      </c>
      <c r="G18" s="23">
        <v>1.2344626559293101E-2</v>
      </c>
      <c r="H18" s="24">
        <v>4.9714930992937299E-2</v>
      </c>
      <c r="I18" s="23">
        <v>1.8604956921724002E-2</v>
      </c>
      <c r="J18" s="32">
        <v>1.94367029741161E-2</v>
      </c>
    </row>
    <row r="19" spans="2:10" ht="29.4" thickBot="1" x14ac:dyDescent="0.35">
      <c r="B19" s="31" t="s">
        <v>5</v>
      </c>
      <c r="C19" s="23">
        <v>7.0352077287687498E-2</v>
      </c>
      <c r="D19" s="23">
        <v>7.3155898814940196E-2</v>
      </c>
      <c r="E19" s="23">
        <v>5.2213253413856402E-2</v>
      </c>
      <c r="F19" s="23">
        <v>0.36249126635248202</v>
      </c>
      <c r="G19" s="23">
        <v>0.28098577415202503</v>
      </c>
      <c r="H19" s="24">
        <v>9.4448644643538901E-2</v>
      </c>
      <c r="I19" s="23">
        <v>1.5673030345558201E-2</v>
      </c>
      <c r="J19" s="32">
        <v>5.0680054989912002E-2</v>
      </c>
    </row>
    <row r="20" spans="2:10" ht="43.8" thickBot="1" x14ac:dyDescent="0.35">
      <c r="B20" s="31" t="s">
        <v>13</v>
      </c>
      <c r="C20" s="23">
        <v>3.17299366118133E-3</v>
      </c>
      <c r="D20" s="23">
        <v>2.4309145889729801E-2</v>
      </c>
      <c r="E20" s="23">
        <v>4.39379036538124E-2</v>
      </c>
      <c r="F20" s="23">
        <v>4.87693278597792E-2</v>
      </c>
      <c r="G20" s="23">
        <v>0.55219285354617098</v>
      </c>
      <c r="H20" s="24">
        <v>0.17172629295907399</v>
      </c>
      <c r="I20" s="23">
        <v>5.6202478326569702E-2</v>
      </c>
      <c r="J20" s="32">
        <v>9.9689004103682394E-2</v>
      </c>
    </row>
    <row r="21" spans="2:10" ht="29.4" thickBot="1" x14ac:dyDescent="0.35">
      <c r="B21" s="33" t="s">
        <v>14</v>
      </c>
      <c r="C21" s="25">
        <v>1.9024429849373999E-3</v>
      </c>
      <c r="D21" s="25">
        <v>1.2493652174651201E-2</v>
      </c>
      <c r="E21" s="25">
        <v>0.13804922973914499</v>
      </c>
      <c r="F21" s="25">
        <v>9.0237615999502006E-3</v>
      </c>
      <c r="G21" s="25">
        <v>8.4891076432279403E-2</v>
      </c>
      <c r="H21" s="26">
        <v>0.56788053702874497</v>
      </c>
      <c r="I21" s="23">
        <v>6.64139798650136E-2</v>
      </c>
      <c r="J21" s="32">
        <v>0.11934532017527701</v>
      </c>
    </row>
    <row r="22" spans="2:10" ht="29.4" thickBot="1" x14ac:dyDescent="0.35">
      <c r="B22" s="31" t="s">
        <v>8</v>
      </c>
      <c r="C22" s="23">
        <v>2.13731567438167E-4</v>
      </c>
      <c r="D22" s="23">
        <v>1.24550070762865E-2</v>
      </c>
      <c r="E22" s="23">
        <v>0.11454697622693499</v>
      </c>
      <c r="F22" s="23">
        <v>2.54363424242589E-3</v>
      </c>
      <c r="G22" s="23">
        <v>9.2492621546256495E-2</v>
      </c>
      <c r="H22" s="23">
        <v>0.264500243876862</v>
      </c>
      <c r="I22" s="23">
        <v>0.27903227603831998</v>
      </c>
      <c r="J22" s="32">
        <v>0.234215509425476</v>
      </c>
    </row>
    <row r="23" spans="2:10" ht="15" thickBot="1" x14ac:dyDescent="0.35">
      <c r="B23" s="34" t="s">
        <v>9</v>
      </c>
      <c r="C23" s="35">
        <v>6.7464788499800197E-4</v>
      </c>
      <c r="D23" s="35">
        <v>8.3945944381444305E-3</v>
      </c>
      <c r="E23" s="35">
        <v>3.2400307998227899E-2</v>
      </c>
      <c r="F23" s="35">
        <v>3.2512082950573698E-3</v>
      </c>
      <c r="G23" s="35">
        <v>4.0324595852280098E-2</v>
      </c>
      <c r="H23" s="35">
        <v>0.12785081537915599</v>
      </c>
      <c r="I23" s="35">
        <v>8.7240697972866502E-2</v>
      </c>
      <c r="J23" s="36">
        <v>0.69986313217926999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3.8605444675696202E-3</v>
      </c>
      <c r="D28">
        <v>4.57858852868225E-4</v>
      </c>
      <c r="E28">
        <v>5.8288198010938595E-4</v>
      </c>
      <c r="F28">
        <v>1.1845078416418101E-3</v>
      </c>
      <c r="G28">
        <v>5.0421520411140098E-4</v>
      </c>
      <c r="H28">
        <v>8.5291851222191E-4</v>
      </c>
      <c r="I28">
        <v>1.00095203097985E-4</v>
      </c>
      <c r="J28">
        <v>2.7056385358478302E-4</v>
      </c>
    </row>
    <row r="29" spans="2:10" x14ac:dyDescent="0.3">
      <c r="B29" t="s">
        <v>11</v>
      </c>
      <c r="C29">
        <v>3.4975795105502799E-4</v>
      </c>
      <c r="D29">
        <v>1.33838983491027E-2</v>
      </c>
      <c r="E29">
        <v>1.7593841230359899E-3</v>
      </c>
      <c r="F29">
        <v>1.88864979121306E-3</v>
      </c>
      <c r="G29">
        <v>3.7019884885243202E-3</v>
      </c>
      <c r="H29">
        <v>2.79545097023675E-3</v>
      </c>
      <c r="I29">
        <v>1.12714964695468E-3</v>
      </c>
      <c r="J29">
        <v>1.70976796632794E-3</v>
      </c>
    </row>
    <row r="30" spans="2:10" x14ac:dyDescent="0.3">
      <c r="B30" t="s">
        <v>12</v>
      </c>
      <c r="C30">
        <v>8.0450081340535597E-4</v>
      </c>
      <c r="D30">
        <v>1.49586720185322E-3</v>
      </c>
      <c r="E30">
        <v>0.241796933246926</v>
      </c>
      <c r="F30">
        <v>1.3342671397635101E-3</v>
      </c>
      <c r="G30">
        <v>3.3667798162720902E-3</v>
      </c>
      <c r="H30">
        <v>1.35588732012615E-2</v>
      </c>
      <c r="I30">
        <v>5.0741748359748604E-3</v>
      </c>
      <c r="J30">
        <v>5.3010189456777603E-3</v>
      </c>
    </row>
    <row r="31" spans="2:10" x14ac:dyDescent="0.3">
      <c r="B31" t="s">
        <v>5</v>
      </c>
      <c r="C31">
        <v>1.1174421380335401E-3</v>
      </c>
      <c r="D31">
        <v>1.16197683328164E-3</v>
      </c>
      <c r="E31">
        <v>8.2933286091721199E-4</v>
      </c>
      <c r="F31">
        <v>5.7576553714966602E-3</v>
      </c>
      <c r="G31">
        <v>4.4630571879417597E-3</v>
      </c>
      <c r="H31">
        <v>1.50018165026261E-3</v>
      </c>
      <c r="I31">
        <v>2.4894367322214302E-4</v>
      </c>
      <c r="J31">
        <v>8.0498019656195503E-4</v>
      </c>
    </row>
    <row r="32" spans="2:10" x14ac:dyDescent="0.3">
      <c r="B32" t="s">
        <v>13</v>
      </c>
      <c r="C32">
        <v>3.0766810990558798E-4</v>
      </c>
      <c r="D32">
        <v>2.3571269809999598E-3</v>
      </c>
      <c r="E32">
        <v>4.2604219276471296E-3</v>
      </c>
      <c r="F32">
        <v>4.7288991174340399E-3</v>
      </c>
      <c r="G32">
        <v>5.3543167650285002E-2</v>
      </c>
      <c r="H32">
        <v>1.6651373944485199E-2</v>
      </c>
      <c r="I32">
        <v>5.4496516933814501E-3</v>
      </c>
      <c r="J32">
        <v>9.6663059388310407E-3</v>
      </c>
    </row>
    <row r="33" spans="2:10" x14ac:dyDescent="0.3">
      <c r="B33" t="s">
        <v>14</v>
      </c>
      <c r="C33">
        <v>4.1898087886800198E-4</v>
      </c>
      <c r="D33">
        <v>2.7515155039344102E-3</v>
      </c>
      <c r="E33">
        <v>3.0403007113015398E-2</v>
      </c>
      <c r="F33">
        <v>1.9873308139990698E-3</v>
      </c>
      <c r="G33">
        <v>1.8695823261593102E-2</v>
      </c>
      <c r="H33">
        <v>0.12506607997199301</v>
      </c>
      <c r="I33">
        <v>1.4626555367639999E-2</v>
      </c>
      <c r="J33">
        <v>2.62837874941446E-2</v>
      </c>
    </row>
    <row r="34" spans="2:10" x14ac:dyDescent="0.3">
      <c r="B34" t="s">
        <v>8</v>
      </c>
      <c r="C34">
        <v>1.7928930056823001E-5</v>
      </c>
      <c r="D34">
        <v>1.0447916206508801E-3</v>
      </c>
      <c r="E34">
        <v>9.6088039291969303E-3</v>
      </c>
      <c r="F34">
        <v>2.13373443002457E-4</v>
      </c>
      <c r="G34">
        <v>7.7587684512479696E-3</v>
      </c>
      <c r="H34">
        <v>2.2187674143422001E-2</v>
      </c>
      <c r="I34">
        <v>2.3406697572339E-2</v>
      </c>
      <c r="J34">
        <v>1.96472310433384E-2</v>
      </c>
    </row>
    <row r="35" spans="2:10" x14ac:dyDescent="0.3">
      <c r="B35" t="s">
        <v>9</v>
      </c>
      <c r="C35">
        <v>1.86048603076283E-4</v>
      </c>
      <c r="D35">
        <v>2.3149892015348599E-3</v>
      </c>
      <c r="E35">
        <v>8.9350788409119294E-3</v>
      </c>
      <c r="F35">
        <v>8.9659031778812801E-4</v>
      </c>
      <c r="G35">
        <v>1.11203709294288E-2</v>
      </c>
      <c r="H35">
        <v>3.5257600494109802E-2</v>
      </c>
      <c r="I35">
        <v>2.40584908812095E-2</v>
      </c>
      <c r="J35">
        <v>0.19300224751602199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-7.50714023234886E-4</v>
      </c>
    </row>
    <row r="41" spans="2:10" x14ac:dyDescent="0.3">
      <c r="B41" t="s">
        <v>11</v>
      </c>
      <c r="C41">
        <v>-1.7480227422245801E-3</v>
      </c>
    </row>
    <row r="42" spans="2:10" x14ac:dyDescent="0.3">
      <c r="B42" t="s">
        <v>12</v>
      </c>
      <c r="C42">
        <v>2.5443428820625599E-2</v>
      </c>
    </row>
    <row r="43" spans="2:10" x14ac:dyDescent="0.3">
      <c r="B43" t="s">
        <v>5</v>
      </c>
      <c r="C43">
        <v>2.1077039246212201E-3</v>
      </c>
    </row>
    <row r="44" spans="2:10" x14ac:dyDescent="0.3">
      <c r="B44" t="s">
        <v>13</v>
      </c>
      <c r="C44">
        <v>6.18955562643501E-3</v>
      </c>
    </row>
    <row r="45" spans="2:10" x14ac:dyDescent="0.3">
      <c r="B45" t="s">
        <v>14</v>
      </c>
      <c r="C45">
        <v>-2.3629275171947999E-3</v>
      </c>
    </row>
    <row r="46" spans="2:10" x14ac:dyDescent="0.3">
      <c r="B46" t="s">
        <v>8</v>
      </c>
      <c r="C46">
        <v>-9.7935102594347394E-3</v>
      </c>
    </row>
    <row r="47" spans="2:10" x14ac:dyDescent="0.3">
      <c r="B47" t="s">
        <v>9</v>
      </c>
      <c r="C47">
        <v>-1.9085513829592799E-2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7"/>
  <sheetViews>
    <sheetView tabSelected="1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103161</v>
      </c>
      <c r="D4" s="4">
        <v>18322</v>
      </c>
      <c r="E4" s="4">
        <v>22118</v>
      </c>
      <c r="F4" s="4">
        <v>23064</v>
      </c>
      <c r="G4" s="4">
        <v>10388</v>
      </c>
      <c r="H4" s="5">
        <v>14706</v>
      </c>
      <c r="I4" s="4">
        <v>556</v>
      </c>
      <c r="J4" s="4">
        <v>7632</v>
      </c>
      <c r="K4" s="15">
        <f>SUM(C4:J4)</f>
        <v>199947</v>
      </c>
      <c r="L4" s="18">
        <f>K4/$K$12</f>
        <v>6.5843698643737762E-3</v>
      </c>
    </row>
    <row r="5" spans="1:12" ht="29.4" thickBot="1" x14ac:dyDescent="0.35">
      <c r="A5" s="49"/>
      <c r="B5" s="13" t="s">
        <v>11</v>
      </c>
      <c r="C5" s="4">
        <v>9032</v>
      </c>
      <c r="D5" s="4">
        <v>421041</v>
      </c>
      <c r="E5" s="4">
        <v>61738</v>
      </c>
      <c r="F5" s="4">
        <v>54112</v>
      </c>
      <c r="G5" s="4">
        <v>60407</v>
      </c>
      <c r="H5" s="5">
        <v>70201</v>
      </c>
      <c r="I5" s="4">
        <v>23260</v>
      </c>
      <c r="J5" s="4">
        <v>69672</v>
      </c>
      <c r="K5" s="15">
        <f t="shared" ref="K5:K11" si="0">SUM(C5:J5)</f>
        <v>769463</v>
      </c>
      <c r="L5" s="18">
        <f t="shared" ref="L5:L12" si="1">K5/$K$12</f>
        <v>2.5338859742584981E-2</v>
      </c>
    </row>
    <row r="6" spans="1:12" ht="29.4" thickBot="1" x14ac:dyDescent="0.35">
      <c r="A6" s="49"/>
      <c r="B6" s="13" t="s">
        <v>12</v>
      </c>
      <c r="C6" s="4">
        <v>35294</v>
      </c>
      <c r="D6" s="4">
        <v>56538</v>
      </c>
      <c r="E6" s="4">
        <v>7809314</v>
      </c>
      <c r="F6" s="4">
        <v>38112</v>
      </c>
      <c r="G6" s="4">
        <v>104166</v>
      </c>
      <c r="H6" s="5">
        <v>491006</v>
      </c>
      <c r="I6" s="4">
        <v>163310</v>
      </c>
      <c r="J6" s="4">
        <v>237050</v>
      </c>
      <c r="K6" s="15">
        <f t="shared" si="0"/>
        <v>8934790</v>
      </c>
      <c r="L6" s="18">
        <f t="shared" si="1"/>
        <v>0.29422778046436393</v>
      </c>
    </row>
    <row r="7" spans="1:12" ht="29.4" thickBot="1" x14ac:dyDescent="0.35">
      <c r="A7" s="49"/>
      <c r="B7" s="13" t="s">
        <v>5</v>
      </c>
      <c r="C7" s="4">
        <v>47273</v>
      </c>
      <c r="D7" s="4">
        <v>33878</v>
      </c>
      <c r="E7" s="4">
        <v>26976</v>
      </c>
      <c r="F7" s="4">
        <v>210146</v>
      </c>
      <c r="G7" s="4">
        <v>129790</v>
      </c>
      <c r="H7" s="5">
        <v>50780</v>
      </c>
      <c r="I7" s="4">
        <v>7010</v>
      </c>
      <c r="J7" s="4">
        <v>17553</v>
      </c>
      <c r="K7" s="15">
        <f t="shared" si="0"/>
        <v>523406</v>
      </c>
      <c r="L7" s="18">
        <f t="shared" si="1"/>
        <v>1.7236061022333021E-2</v>
      </c>
    </row>
    <row r="8" spans="1:12" ht="43.8" thickBot="1" x14ac:dyDescent="0.35">
      <c r="A8" s="49"/>
      <c r="B8" s="13" t="s">
        <v>13</v>
      </c>
      <c r="C8" s="4">
        <v>24198</v>
      </c>
      <c r="D8" s="4">
        <v>141373</v>
      </c>
      <c r="E8" s="4">
        <v>123970</v>
      </c>
      <c r="F8" s="4">
        <v>138397</v>
      </c>
      <c r="G8" s="4">
        <v>1541495</v>
      </c>
      <c r="H8" s="5">
        <v>490464</v>
      </c>
      <c r="I8" s="4">
        <v>108195</v>
      </c>
      <c r="J8" s="4">
        <v>349239</v>
      </c>
      <c r="K8" s="15">
        <f t="shared" si="0"/>
        <v>2917331</v>
      </c>
      <c r="L8" s="18">
        <f t="shared" si="1"/>
        <v>9.6069389992365042E-2</v>
      </c>
    </row>
    <row r="9" spans="1:12" ht="29.4" thickBot="1" x14ac:dyDescent="0.35">
      <c r="A9" s="49"/>
      <c r="B9" s="8" t="s">
        <v>14</v>
      </c>
      <c r="C9" s="6">
        <v>17026</v>
      </c>
      <c r="D9" s="6">
        <v>125656</v>
      </c>
      <c r="E9" s="6">
        <v>944378</v>
      </c>
      <c r="F9" s="6">
        <v>55573</v>
      </c>
      <c r="G9" s="6">
        <v>463639</v>
      </c>
      <c r="H9" s="7">
        <v>3569255</v>
      </c>
      <c r="I9" s="4">
        <v>429892</v>
      </c>
      <c r="J9" s="4">
        <v>918512</v>
      </c>
      <c r="K9" s="15">
        <f t="shared" si="0"/>
        <v>6523931</v>
      </c>
      <c r="L9" s="18">
        <f t="shared" si="1"/>
        <v>0.21483680512162662</v>
      </c>
    </row>
    <row r="10" spans="1:12" ht="29.4" thickBot="1" x14ac:dyDescent="0.35">
      <c r="A10" s="49"/>
      <c r="B10" s="13" t="s">
        <v>8</v>
      </c>
      <c r="C10" s="4">
        <v>4702</v>
      </c>
      <c r="D10" s="4">
        <v>28448</v>
      </c>
      <c r="E10" s="4">
        <v>331287</v>
      </c>
      <c r="F10" s="4">
        <v>6476</v>
      </c>
      <c r="G10" s="4">
        <v>205695</v>
      </c>
      <c r="H10" s="4">
        <v>524321</v>
      </c>
      <c r="I10" s="4">
        <v>497699</v>
      </c>
      <c r="J10" s="4">
        <v>543884</v>
      </c>
      <c r="K10" s="15">
        <f t="shared" si="0"/>
        <v>2142512</v>
      </c>
      <c r="L10" s="18">
        <f t="shared" si="1"/>
        <v>7.0554154085128509E-2</v>
      </c>
    </row>
    <row r="11" spans="1:12" ht="15" thickBot="1" x14ac:dyDescent="0.35">
      <c r="A11" s="49"/>
      <c r="B11" s="13" t="s">
        <v>9</v>
      </c>
      <c r="C11" s="4">
        <v>3901</v>
      </c>
      <c r="D11" s="4">
        <v>70413</v>
      </c>
      <c r="E11" s="4">
        <v>279039</v>
      </c>
      <c r="F11" s="4">
        <v>31649</v>
      </c>
      <c r="G11" s="4">
        <v>246702</v>
      </c>
      <c r="H11" s="4">
        <v>963858</v>
      </c>
      <c r="I11" s="4">
        <v>565971</v>
      </c>
      <c r="J11" s="4">
        <v>6194002</v>
      </c>
      <c r="K11" s="15">
        <f t="shared" si="0"/>
        <v>8355535</v>
      </c>
      <c r="L11" s="18">
        <f t="shared" si="1"/>
        <v>0.27515257970722412</v>
      </c>
    </row>
    <row r="12" spans="1:12" ht="15" thickBot="1" x14ac:dyDescent="0.35">
      <c r="A12" s="50"/>
      <c r="B12" s="20" t="s">
        <v>18</v>
      </c>
      <c r="C12" s="21">
        <f>SUM(C4:C11)</f>
        <v>244587</v>
      </c>
      <c r="D12" s="21">
        <f t="shared" ref="D12:J12" si="2">SUM(D4:D11)</f>
        <v>895669</v>
      </c>
      <c r="E12" s="21">
        <f t="shared" si="2"/>
        <v>9598820</v>
      </c>
      <c r="F12" s="21">
        <f t="shared" si="2"/>
        <v>557529</v>
      </c>
      <c r="G12" s="21">
        <f t="shared" si="2"/>
        <v>2762282</v>
      </c>
      <c r="H12" s="21">
        <f t="shared" si="2"/>
        <v>6174591</v>
      </c>
      <c r="I12" s="21">
        <f t="shared" si="2"/>
        <v>1795893</v>
      </c>
      <c r="J12" s="21">
        <f t="shared" si="2"/>
        <v>8337544</v>
      </c>
      <c r="K12" s="22">
        <f>SUM(K4:K11)</f>
        <v>30366915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8.0543907736429603E-3</v>
      </c>
      <c r="D13" s="18">
        <f t="shared" ref="D13:K13" si="3">D12/$K$12</f>
        <v>2.9494896007711022E-2</v>
      </c>
      <c r="E13" s="18">
        <f t="shared" si="3"/>
        <v>0.3160946707955023</v>
      </c>
      <c r="F13" s="18">
        <f t="shared" si="3"/>
        <v>1.8359751064604357E-2</v>
      </c>
      <c r="G13" s="18">
        <f t="shared" si="3"/>
        <v>9.0963537125848967E-2</v>
      </c>
      <c r="H13" s="18">
        <f t="shared" si="3"/>
        <v>0.20333283772816568</v>
      </c>
      <c r="I13" s="18">
        <f t="shared" si="3"/>
        <v>5.9139790788758091E-2</v>
      </c>
      <c r="J13" s="18">
        <f t="shared" si="3"/>
        <v>0.27456012571576666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0.51594172455700804</v>
      </c>
      <c r="D16" s="23">
        <v>9.1634283085017504E-2</v>
      </c>
      <c r="E16" s="23">
        <v>0.110619314118241</v>
      </c>
      <c r="F16" s="23">
        <v>0.115350567900494</v>
      </c>
      <c r="G16" s="23">
        <v>5.1953767748453297E-2</v>
      </c>
      <c r="H16" s="24">
        <v>7.3549490615012994E-2</v>
      </c>
      <c r="I16" s="23">
        <v>2.7807368952772501E-3</v>
      </c>
      <c r="J16" s="32">
        <v>3.8170115080496302E-2</v>
      </c>
    </row>
    <row r="17" spans="2:10" ht="29.4" thickBot="1" x14ac:dyDescent="0.35">
      <c r="B17" s="31" t="s">
        <v>11</v>
      </c>
      <c r="C17" s="23">
        <v>1.17380562808088E-2</v>
      </c>
      <c r="D17" s="23">
        <v>0.54718810391142902</v>
      </c>
      <c r="E17" s="23">
        <v>8.0235177000063704E-2</v>
      </c>
      <c r="F17" s="23">
        <v>7.03243690729769E-2</v>
      </c>
      <c r="G17" s="23">
        <v>7.85053992199755E-2</v>
      </c>
      <c r="H17" s="24">
        <v>9.1233756528903906E-2</v>
      </c>
      <c r="I17" s="23">
        <v>3.02288739029687E-2</v>
      </c>
      <c r="J17" s="32">
        <v>9.0546264082873404E-2</v>
      </c>
    </row>
    <row r="18" spans="2:10" ht="29.4" thickBot="1" x14ac:dyDescent="0.35">
      <c r="B18" s="31" t="s">
        <v>12</v>
      </c>
      <c r="C18" s="23">
        <v>3.9501767808756598E-3</v>
      </c>
      <c r="D18" s="23">
        <v>6.3278487798817899E-3</v>
      </c>
      <c r="E18" s="23">
        <v>0.87403442050680502</v>
      </c>
      <c r="F18" s="23">
        <v>4.26557311363781E-3</v>
      </c>
      <c r="G18" s="23">
        <v>1.1658472107346701E-2</v>
      </c>
      <c r="H18" s="24">
        <v>5.4954397361325798E-2</v>
      </c>
      <c r="I18" s="23">
        <v>1.8277989745701901E-2</v>
      </c>
      <c r="J18" s="32">
        <v>2.65311216044249E-2</v>
      </c>
    </row>
    <row r="19" spans="2:10" ht="29.4" thickBot="1" x14ac:dyDescent="0.35">
      <c r="B19" s="31" t="s">
        <v>5</v>
      </c>
      <c r="C19" s="23">
        <v>9.0318032273225796E-2</v>
      </c>
      <c r="D19" s="23">
        <v>6.4726044409120304E-2</v>
      </c>
      <c r="E19" s="23">
        <v>5.1539340397320603E-2</v>
      </c>
      <c r="F19" s="23">
        <v>0.40149711696083001</v>
      </c>
      <c r="G19" s="23">
        <v>0.247971937654517</v>
      </c>
      <c r="H19" s="24">
        <v>9.7018375792405895E-2</v>
      </c>
      <c r="I19" s="23">
        <v>1.33930447874117E-2</v>
      </c>
      <c r="J19" s="32">
        <v>3.3536107725169399E-2</v>
      </c>
    </row>
    <row r="20" spans="2:10" ht="43.8" thickBot="1" x14ac:dyDescent="0.35">
      <c r="B20" s="31" t="s">
        <v>13</v>
      </c>
      <c r="C20" s="23">
        <v>8.2945678772823501E-3</v>
      </c>
      <c r="D20" s="23">
        <v>4.8459705120879298E-2</v>
      </c>
      <c r="E20" s="23">
        <v>4.2494321007797903E-2</v>
      </c>
      <c r="F20" s="23">
        <v>4.7439594615763497E-2</v>
      </c>
      <c r="G20" s="23">
        <v>0.52839221877805398</v>
      </c>
      <c r="H20" s="24">
        <v>0.16812079260118201</v>
      </c>
      <c r="I20" s="23">
        <v>3.7086981216735398E-2</v>
      </c>
      <c r="J20" s="32">
        <v>0.119711818782305</v>
      </c>
    </row>
    <row r="21" spans="2:10" ht="29.4" thickBot="1" x14ac:dyDescent="0.35">
      <c r="B21" s="33" t="s">
        <v>14</v>
      </c>
      <c r="C21" s="25">
        <v>2.6097762223420201E-3</v>
      </c>
      <c r="D21" s="25">
        <v>1.9260780041971601E-2</v>
      </c>
      <c r="E21" s="25">
        <v>0.14475597611317501</v>
      </c>
      <c r="F21" s="25">
        <v>8.5183304360515206E-3</v>
      </c>
      <c r="G21" s="25">
        <v>7.1067428518174103E-2</v>
      </c>
      <c r="H21" s="26">
        <v>0.54710189301511603</v>
      </c>
      <c r="I21" s="23">
        <v>6.58946270277843E-2</v>
      </c>
      <c r="J21" s="32">
        <v>0.140791188625386</v>
      </c>
    </row>
    <row r="22" spans="2:10" ht="29.4" thickBot="1" x14ac:dyDescent="0.35">
      <c r="B22" s="31" t="s">
        <v>8</v>
      </c>
      <c r="C22" s="23">
        <v>2.1946201468183101E-3</v>
      </c>
      <c r="D22" s="23">
        <v>1.32778719559097E-2</v>
      </c>
      <c r="E22" s="23">
        <v>0.15462550501467401</v>
      </c>
      <c r="F22" s="23">
        <v>3.0226201766897901E-3</v>
      </c>
      <c r="G22" s="23">
        <v>9.6006463441044895E-2</v>
      </c>
      <c r="H22" s="23">
        <v>0.24472254997871701</v>
      </c>
      <c r="I22" s="23">
        <v>0.23229694862852601</v>
      </c>
      <c r="J22" s="32">
        <v>0.25385342065762101</v>
      </c>
    </row>
    <row r="23" spans="2:10" ht="15" thickBot="1" x14ac:dyDescent="0.35">
      <c r="B23" s="34" t="s">
        <v>9</v>
      </c>
      <c r="C23" s="35">
        <v>4.6687614856499301E-4</v>
      </c>
      <c r="D23" s="35">
        <v>8.4271084975408497E-3</v>
      </c>
      <c r="E23" s="35">
        <v>3.3395707156992298E-2</v>
      </c>
      <c r="F23" s="35">
        <v>3.7877885736820002E-3</v>
      </c>
      <c r="G23" s="35">
        <v>2.9525577955211699E-2</v>
      </c>
      <c r="H23" s="35">
        <v>0.11535562953180099</v>
      </c>
      <c r="I23" s="35">
        <v>6.7736057595354504E-2</v>
      </c>
      <c r="J23" s="36">
        <v>0.74130525454085205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3.3971511429462002E-3</v>
      </c>
      <c r="D28">
        <v>6.0335401208848501E-4</v>
      </c>
      <c r="E28">
        <v>7.2835847829784504E-4</v>
      </c>
      <c r="F28">
        <v>7.5951080312241105E-4</v>
      </c>
      <c r="G28">
        <v>3.4208282270359E-4</v>
      </c>
      <c r="H28">
        <v>4.8427704954553301E-4</v>
      </c>
      <c r="I28">
        <v>1.8309400214015801E-5</v>
      </c>
      <c r="J28">
        <v>2.51326155455699E-4</v>
      </c>
    </row>
    <row r="29" spans="2:10" x14ac:dyDescent="0.3">
      <c r="B29" t="s">
        <v>11</v>
      </c>
      <c r="C29">
        <v>2.9742896174998301E-4</v>
      </c>
      <c r="D29">
        <v>1.38651226178227E-2</v>
      </c>
      <c r="E29">
        <v>2.03306789642609E-3</v>
      </c>
      <c r="F29">
        <v>1.7819393244259401E-3</v>
      </c>
      <c r="G29">
        <v>1.9892372998706002E-3</v>
      </c>
      <c r="H29">
        <v>2.31175936047504E-3</v>
      </c>
      <c r="I29">
        <v>7.6596519600361098E-4</v>
      </c>
      <c r="J29">
        <v>2.2943390858109901E-3</v>
      </c>
    </row>
    <row r="30" spans="2:10" x14ac:dyDescent="0.3">
      <c r="B30" t="s">
        <v>12</v>
      </c>
      <c r="C30">
        <v>1.1622517466789101E-3</v>
      </c>
      <c r="D30">
        <v>1.86182890161875E-3</v>
      </c>
      <c r="E30">
        <v>0.25716520759517397</v>
      </c>
      <c r="F30">
        <v>1.2550501096341201E-3</v>
      </c>
      <c r="G30">
        <v>3.4302463717503099E-3</v>
      </c>
      <c r="H30">
        <v>1.6169110362379599E-2</v>
      </c>
      <c r="I30">
        <v>5.37789235422828E-3</v>
      </c>
      <c r="J30">
        <v>7.8061930229000901E-3</v>
      </c>
    </row>
    <row r="31" spans="2:10" x14ac:dyDescent="0.3">
      <c r="B31" t="s">
        <v>5</v>
      </c>
      <c r="C31">
        <v>1.5567271156783601E-3</v>
      </c>
      <c r="D31">
        <v>1.11562205116983E-3</v>
      </c>
      <c r="E31">
        <v>8.8833521613901204E-4</v>
      </c>
      <c r="F31">
        <v>6.9202288082276398E-3</v>
      </c>
      <c r="G31">
        <v>4.2740594492394098E-3</v>
      </c>
      <c r="H31">
        <v>1.6722146454455401E-3</v>
      </c>
      <c r="I31">
        <v>2.30843337230667E-4</v>
      </c>
      <c r="J31">
        <v>5.7803039920255295E-4</v>
      </c>
    </row>
    <row r="32" spans="2:10" x14ac:dyDescent="0.3">
      <c r="B32" t="s">
        <v>13</v>
      </c>
      <c r="C32">
        <v>7.9685407622078202E-4</v>
      </c>
      <c r="D32">
        <v>4.6554943101727699E-3</v>
      </c>
      <c r="E32">
        <v>4.0824034973588903E-3</v>
      </c>
      <c r="F32">
        <v>4.55749291622149E-3</v>
      </c>
      <c r="G32">
        <v>5.076231813472E-2</v>
      </c>
      <c r="H32">
        <v>1.61512619902285E-2</v>
      </c>
      <c r="I32">
        <v>3.56292366215007E-3</v>
      </c>
      <c r="J32">
        <v>1.1500641405292601E-2</v>
      </c>
    </row>
    <row r="33" spans="2:10" x14ac:dyDescent="0.3">
      <c r="B33" t="s">
        <v>14</v>
      </c>
      <c r="C33">
        <v>5.6067598569034798E-4</v>
      </c>
      <c r="D33">
        <v>4.1379244483675699E-3</v>
      </c>
      <c r="E33">
        <v>3.1098911430417001E-2</v>
      </c>
      <c r="F33">
        <v>1.83005089585162E-3</v>
      </c>
      <c r="G33">
        <v>1.5267899291054101E-2</v>
      </c>
      <c r="H33">
        <v>0.117537622771362</v>
      </c>
      <c r="I33">
        <v>1.41565911453304E-2</v>
      </c>
      <c r="J33">
        <v>3.0247129153554101E-2</v>
      </c>
    </row>
    <row r="34" spans="2:10" x14ac:dyDescent="0.3">
      <c r="B34" t="s">
        <v>8</v>
      </c>
      <c r="C34">
        <v>1.5483956799694699E-4</v>
      </c>
      <c r="D34">
        <v>9.3680902389985902E-4</v>
      </c>
      <c r="E34">
        <v>1.09094717062961E-2</v>
      </c>
      <c r="F34">
        <v>2.1325840968699E-4</v>
      </c>
      <c r="G34">
        <v>6.7736548147877404E-3</v>
      </c>
      <c r="H34">
        <v>1.72661924993039E-2</v>
      </c>
      <c r="I34">
        <v>1.63895147070422E-2</v>
      </c>
      <c r="J34">
        <v>1.79104133561147E-2</v>
      </c>
    </row>
    <row r="35" spans="2:10" x14ac:dyDescent="0.3">
      <c r="B35" t="s">
        <v>9</v>
      </c>
      <c r="C35">
        <v>1.2846217668143099E-4</v>
      </c>
      <c r="D35">
        <v>2.3187406425710399E-3</v>
      </c>
      <c r="E35">
        <v>9.1889149753934495E-3</v>
      </c>
      <c r="F35">
        <v>1.04221979743415E-3</v>
      </c>
      <c r="G35">
        <v>8.1240389417232498E-3</v>
      </c>
      <c r="H35">
        <v>3.1740399049426E-2</v>
      </c>
      <c r="I35">
        <v>1.8637750986558899E-2</v>
      </c>
      <c r="J35">
        <v>0.20397205313743599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1.47002090926918E-3</v>
      </c>
    </row>
    <row r="41" spans="2:10" x14ac:dyDescent="0.3">
      <c r="B41" t="s">
        <v>11</v>
      </c>
      <c r="C41">
        <v>4.1560362651260402E-3</v>
      </c>
    </row>
    <row r="42" spans="2:10" x14ac:dyDescent="0.3">
      <c r="B42" t="s">
        <v>12</v>
      </c>
      <c r="C42">
        <v>2.1866890331138401E-2</v>
      </c>
    </row>
    <row r="43" spans="2:10" x14ac:dyDescent="0.3">
      <c r="B43" t="s">
        <v>5</v>
      </c>
      <c r="C43">
        <v>1.12369004227134E-3</v>
      </c>
    </row>
    <row r="44" spans="2:10" x14ac:dyDescent="0.3">
      <c r="B44" t="s">
        <v>13</v>
      </c>
      <c r="C44">
        <v>-5.1058528665160804E-3</v>
      </c>
    </row>
    <row r="45" spans="2:10" x14ac:dyDescent="0.3">
      <c r="B45" t="s">
        <v>14</v>
      </c>
      <c r="C45">
        <v>-1.15039673934609E-2</v>
      </c>
    </row>
    <row r="46" spans="2:10" x14ac:dyDescent="0.3">
      <c r="B46" t="s">
        <v>8</v>
      </c>
      <c r="C46">
        <v>-1.1414363296370401E-2</v>
      </c>
    </row>
    <row r="47" spans="2:10" x14ac:dyDescent="0.3">
      <c r="B47" t="s">
        <v>9</v>
      </c>
      <c r="C47">
        <v>-5.9245399145746403E-4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7"/>
  <sheetViews>
    <sheetView topLeftCell="A13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133340</v>
      </c>
      <c r="D4" s="4">
        <v>9994</v>
      </c>
      <c r="E4" s="4">
        <v>35716</v>
      </c>
      <c r="F4" s="4">
        <v>36643</v>
      </c>
      <c r="G4" s="4">
        <v>15282</v>
      </c>
      <c r="H4" s="5">
        <v>18548</v>
      </c>
      <c r="I4" s="4">
        <v>0</v>
      </c>
      <c r="J4" s="4">
        <v>2884</v>
      </c>
      <c r="K4" s="15">
        <f>SUM(C4:J4)</f>
        <v>252407</v>
      </c>
      <c r="L4" s="18">
        <f>K4/$K$12</f>
        <v>8.2246674397118292E-3</v>
      </c>
    </row>
    <row r="5" spans="1:12" ht="29.4" thickBot="1" x14ac:dyDescent="0.35">
      <c r="A5" s="49"/>
      <c r="B5" s="13" t="s">
        <v>11</v>
      </c>
      <c r="C5" s="4">
        <v>14211</v>
      </c>
      <c r="D5" s="4">
        <v>440196</v>
      </c>
      <c r="E5" s="4">
        <v>58698</v>
      </c>
      <c r="F5" s="4">
        <v>62404</v>
      </c>
      <c r="G5" s="4">
        <v>72486</v>
      </c>
      <c r="H5" s="5">
        <v>90803</v>
      </c>
      <c r="I5" s="4">
        <v>21720</v>
      </c>
      <c r="J5" s="4">
        <v>63533</v>
      </c>
      <c r="K5" s="15">
        <f t="shared" ref="K5:K11" si="0">SUM(C5:J5)</f>
        <v>824051</v>
      </c>
      <c r="L5" s="18">
        <f t="shared" ref="L5:L12" si="1">K5/$K$12</f>
        <v>2.6851653988843305E-2</v>
      </c>
    </row>
    <row r="6" spans="1:12" ht="29.4" thickBot="1" x14ac:dyDescent="0.35">
      <c r="A6" s="49"/>
      <c r="B6" s="13" t="s">
        <v>12</v>
      </c>
      <c r="C6" s="4">
        <v>22652</v>
      </c>
      <c r="D6" s="4">
        <v>60632</v>
      </c>
      <c r="E6" s="4">
        <v>8293115</v>
      </c>
      <c r="F6" s="4">
        <v>41540</v>
      </c>
      <c r="G6" s="4">
        <v>143522</v>
      </c>
      <c r="H6" s="5">
        <v>521468</v>
      </c>
      <c r="I6" s="4">
        <v>168916</v>
      </c>
      <c r="J6" s="4">
        <v>255049</v>
      </c>
      <c r="K6" s="15">
        <f t="shared" si="0"/>
        <v>9506894</v>
      </c>
      <c r="L6" s="18">
        <f t="shared" si="1"/>
        <v>0.30978158899948</v>
      </c>
    </row>
    <row r="7" spans="1:12" ht="29.4" thickBot="1" x14ac:dyDescent="0.35">
      <c r="A7" s="49"/>
      <c r="B7" s="13" t="s">
        <v>5</v>
      </c>
      <c r="C7" s="4">
        <v>36630</v>
      </c>
      <c r="D7" s="4">
        <v>37453</v>
      </c>
      <c r="E7" s="4">
        <v>35966</v>
      </c>
      <c r="F7" s="4">
        <v>285552</v>
      </c>
      <c r="G7" s="4">
        <v>183102</v>
      </c>
      <c r="H7" s="5">
        <v>45710</v>
      </c>
      <c r="I7" s="4">
        <v>5232</v>
      </c>
      <c r="J7" s="4">
        <v>32551</v>
      </c>
      <c r="K7" s="15">
        <f t="shared" si="0"/>
        <v>662196</v>
      </c>
      <c r="L7" s="18">
        <f t="shared" si="1"/>
        <v>2.1577618211489437E-2</v>
      </c>
    </row>
    <row r="8" spans="1:12" ht="43.8" thickBot="1" x14ac:dyDescent="0.35">
      <c r="A8" s="49"/>
      <c r="B8" s="13" t="s">
        <v>13</v>
      </c>
      <c r="C8" s="4">
        <v>24532</v>
      </c>
      <c r="D8" s="4">
        <v>72649</v>
      </c>
      <c r="E8" s="4">
        <v>142640</v>
      </c>
      <c r="F8" s="4">
        <v>146364</v>
      </c>
      <c r="G8" s="4">
        <v>1443666</v>
      </c>
      <c r="H8" s="5">
        <v>404727</v>
      </c>
      <c r="I8" s="4">
        <v>124217</v>
      </c>
      <c r="J8" s="4">
        <v>334417</v>
      </c>
      <c r="K8" s="15">
        <f t="shared" si="0"/>
        <v>2693212</v>
      </c>
      <c r="L8" s="18">
        <f t="shared" si="1"/>
        <v>8.7758156646373417E-2</v>
      </c>
    </row>
    <row r="9" spans="1:12" ht="29.4" thickBot="1" x14ac:dyDescent="0.35">
      <c r="A9" s="49"/>
      <c r="B9" s="8" t="s">
        <v>14</v>
      </c>
      <c r="C9" s="6">
        <v>24484</v>
      </c>
      <c r="D9" s="6">
        <v>78634</v>
      </c>
      <c r="E9" s="6">
        <v>1033075</v>
      </c>
      <c r="F9" s="6">
        <v>59642</v>
      </c>
      <c r="G9" s="6">
        <v>547678</v>
      </c>
      <c r="H9" s="7">
        <v>3090057</v>
      </c>
      <c r="I9" s="4">
        <v>415983</v>
      </c>
      <c r="J9" s="4">
        <v>922552</v>
      </c>
      <c r="K9" s="15">
        <f t="shared" si="0"/>
        <v>6172105</v>
      </c>
      <c r="L9" s="18">
        <f t="shared" si="1"/>
        <v>0.20111768305943409</v>
      </c>
    </row>
    <row r="10" spans="1:12" ht="29.4" thickBot="1" x14ac:dyDescent="0.35">
      <c r="A10" s="49"/>
      <c r="B10" s="13" t="s">
        <v>8</v>
      </c>
      <c r="C10" s="4">
        <v>2824</v>
      </c>
      <c r="D10" s="4">
        <v>35187</v>
      </c>
      <c r="E10" s="4">
        <v>269091</v>
      </c>
      <c r="F10" s="4">
        <v>9820</v>
      </c>
      <c r="G10" s="4">
        <v>152763</v>
      </c>
      <c r="H10" s="4">
        <v>472765</v>
      </c>
      <c r="I10" s="4">
        <v>381290</v>
      </c>
      <c r="J10" s="4">
        <v>531569</v>
      </c>
      <c r="K10" s="15">
        <f t="shared" si="0"/>
        <v>1855309</v>
      </c>
      <c r="L10" s="18">
        <f t="shared" si="1"/>
        <v>6.0455136041806738E-2</v>
      </c>
    </row>
    <row r="11" spans="1:12" ht="15" thickBot="1" x14ac:dyDescent="0.35">
      <c r="A11" s="49"/>
      <c r="B11" s="13" t="s">
        <v>9</v>
      </c>
      <c r="C11" s="4">
        <v>9827</v>
      </c>
      <c r="D11" s="4">
        <v>91112</v>
      </c>
      <c r="E11" s="4">
        <v>361791</v>
      </c>
      <c r="F11" s="4">
        <v>31257</v>
      </c>
      <c r="G11" s="4">
        <v>318608</v>
      </c>
      <c r="H11" s="4">
        <v>1026903</v>
      </c>
      <c r="I11" s="4">
        <v>499483</v>
      </c>
      <c r="J11" s="4">
        <v>6383867</v>
      </c>
      <c r="K11" s="15">
        <f t="shared" si="0"/>
        <v>8722848</v>
      </c>
      <c r="L11" s="18">
        <f t="shared" si="1"/>
        <v>0.28423349561286115</v>
      </c>
    </row>
    <row r="12" spans="1:12" ht="15" thickBot="1" x14ac:dyDescent="0.35">
      <c r="A12" s="50"/>
      <c r="B12" s="20" t="s">
        <v>18</v>
      </c>
      <c r="C12" s="21">
        <f>SUM(C4:C11)</f>
        <v>268500</v>
      </c>
      <c r="D12" s="21">
        <f t="shared" ref="D12:J12" si="2">SUM(D4:D11)</f>
        <v>825857</v>
      </c>
      <c r="E12" s="21">
        <f t="shared" si="2"/>
        <v>10230092</v>
      </c>
      <c r="F12" s="21">
        <f t="shared" si="2"/>
        <v>673222</v>
      </c>
      <c r="G12" s="21">
        <f t="shared" si="2"/>
        <v>2877107</v>
      </c>
      <c r="H12" s="21">
        <f t="shared" si="2"/>
        <v>5670981</v>
      </c>
      <c r="I12" s="21">
        <f t="shared" si="2"/>
        <v>1616841</v>
      </c>
      <c r="J12" s="21">
        <f t="shared" si="2"/>
        <v>8526422</v>
      </c>
      <c r="K12" s="22">
        <f>SUM(K4:K11)</f>
        <v>30689022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8.7490569103179632E-3</v>
      </c>
      <c r="D13" s="18">
        <f t="shared" ref="D13:K13" si="3">D12/$K$12</f>
        <v>2.6910502393983099E-2</v>
      </c>
      <c r="E13" s="18">
        <f t="shared" si="3"/>
        <v>0.33334695383906338</v>
      </c>
      <c r="F13" s="18">
        <f t="shared" si="3"/>
        <v>2.1936899781296388E-2</v>
      </c>
      <c r="G13" s="18">
        <f t="shared" si="3"/>
        <v>9.3750364544037929E-2</v>
      </c>
      <c r="H13" s="18">
        <f t="shared" si="3"/>
        <v>0.18478858661576117</v>
      </c>
      <c r="I13" s="18">
        <f t="shared" si="3"/>
        <v>5.2684670107766875E-2</v>
      </c>
      <c r="J13" s="18">
        <f t="shared" si="3"/>
        <v>0.27783296580777322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0.52827378004572001</v>
      </c>
      <c r="D16" s="23">
        <v>3.9594781444254698E-2</v>
      </c>
      <c r="E16" s="23">
        <v>0.14150162237972799</v>
      </c>
      <c r="F16" s="23">
        <v>0.14517426220350499</v>
      </c>
      <c r="G16" s="23">
        <v>6.0545072046337897E-2</v>
      </c>
      <c r="H16" s="24">
        <v>7.34844913175942E-2</v>
      </c>
      <c r="I16" s="23">
        <v>0</v>
      </c>
      <c r="J16" s="32">
        <v>1.14259905628608E-2</v>
      </c>
    </row>
    <row r="17" spans="2:10" ht="29.4" thickBot="1" x14ac:dyDescent="0.35">
      <c r="B17" s="31" t="s">
        <v>11</v>
      </c>
      <c r="C17" s="23">
        <v>1.7245291856936001E-2</v>
      </c>
      <c r="D17" s="23">
        <v>0.53418538415704897</v>
      </c>
      <c r="E17" s="23">
        <v>7.1231028176654096E-2</v>
      </c>
      <c r="F17" s="23">
        <v>7.5728322640224902E-2</v>
      </c>
      <c r="G17" s="23">
        <v>8.7963002289906805E-2</v>
      </c>
      <c r="H17" s="24">
        <v>0.11019099546023201</v>
      </c>
      <c r="I17" s="23">
        <v>2.6357591945158701E-2</v>
      </c>
      <c r="J17" s="32">
        <v>7.7098383473838406E-2</v>
      </c>
    </row>
    <row r="18" spans="2:10" ht="29.4" thickBot="1" x14ac:dyDescent="0.35">
      <c r="B18" s="31" t="s">
        <v>12</v>
      </c>
      <c r="C18" s="23">
        <v>2.3826919706899001E-3</v>
      </c>
      <c r="D18" s="23">
        <v>6.3776876022810401E-3</v>
      </c>
      <c r="E18" s="23">
        <v>0.87232644016016203</v>
      </c>
      <c r="F18" s="23">
        <v>4.3694607302868799E-3</v>
      </c>
      <c r="G18" s="23">
        <v>1.50966235660143E-2</v>
      </c>
      <c r="H18" s="24">
        <v>5.4851563507492603E-2</v>
      </c>
      <c r="I18" s="23">
        <v>1.77677378121603E-2</v>
      </c>
      <c r="J18" s="32">
        <v>2.6827794650913301E-2</v>
      </c>
    </row>
    <row r="19" spans="2:10" ht="29.4" thickBot="1" x14ac:dyDescent="0.35">
      <c r="B19" s="31" t="s">
        <v>5</v>
      </c>
      <c r="C19" s="23">
        <v>5.5315948752333102E-2</v>
      </c>
      <c r="D19" s="23">
        <v>5.65587832001401E-2</v>
      </c>
      <c r="E19" s="23">
        <v>5.4313224483385603E-2</v>
      </c>
      <c r="F19" s="23">
        <v>0.43121975970860599</v>
      </c>
      <c r="G19" s="23">
        <v>0.276507257669935</v>
      </c>
      <c r="H19" s="24">
        <v>6.9027901104808803E-2</v>
      </c>
      <c r="I19" s="23">
        <v>7.9009839986952501E-3</v>
      </c>
      <c r="J19" s="32">
        <v>4.9156141082096497E-2</v>
      </c>
    </row>
    <row r="20" spans="2:10" ht="43.8" thickBot="1" x14ac:dyDescent="0.35">
      <c r="B20" s="31" t="s">
        <v>13</v>
      </c>
      <c r="C20" s="23">
        <v>9.1088261896946805E-3</v>
      </c>
      <c r="D20" s="23">
        <v>2.6974853817672E-2</v>
      </c>
      <c r="E20" s="23">
        <v>5.2962781986713302E-2</v>
      </c>
      <c r="F20" s="23">
        <v>5.4345517545592401E-2</v>
      </c>
      <c r="G20" s="23">
        <v>0.53603875224081898</v>
      </c>
      <c r="H20" s="24">
        <v>0.150276695633318</v>
      </c>
      <c r="I20" s="23">
        <v>4.6122251051903797E-2</v>
      </c>
      <c r="J20" s="32">
        <v>0.124170321534287</v>
      </c>
    </row>
    <row r="21" spans="2:10" ht="29.4" thickBot="1" x14ac:dyDescent="0.35">
      <c r="B21" s="33" t="s">
        <v>14</v>
      </c>
      <c r="C21" s="25">
        <v>3.9668800190534696E-3</v>
      </c>
      <c r="D21" s="25">
        <v>1.2740223959248899E-2</v>
      </c>
      <c r="E21" s="25">
        <v>0.16737806631611099</v>
      </c>
      <c r="F21" s="25">
        <v>9.6631538186728802E-3</v>
      </c>
      <c r="G21" s="25">
        <v>8.8734394505602193E-2</v>
      </c>
      <c r="H21" s="26">
        <v>0.50064880620145003</v>
      </c>
      <c r="I21" s="23">
        <v>6.7397265600633804E-2</v>
      </c>
      <c r="J21" s="32">
        <v>0.14947120957922799</v>
      </c>
    </row>
    <row r="22" spans="2:10" ht="29.4" thickBot="1" x14ac:dyDescent="0.35">
      <c r="B22" s="31" t="s">
        <v>8</v>
      </c>
      <c r="C22" s="23">
        <v>1.52211841801015E-3</v>
      </c>
      <c r="D22" s="23">
        <v>1.89655739286556E-2</v>
      </c>
      <c r="E22" s="23">
        <v>0.14503837366174599</v>
      </c>
      <c r="F22" s="23">
        <v>5.2929188614942299E-3</v>
      </c>
      <c r="G22" s="23">
        <v>8.2338305910228393E-2</v>
      </c>
      <c r="H22" s="23">
        <v>0.25481739160431</v>
      </c>
      <c r="I22" s="23">
        <v>0.20551293612007501</v>
      </c>
      <c r="J22" s="32">
        <v>0.28651238149548103</v>
      </c>
    </row>
    <row r="23" spans="2:10" ht="15" thickBot="1" x14ac:dyDescent="0.35">
      <c r="B23" s="34" t="s">
        <v>9</v>
      </c>
      <c r="C23" s="35">
        <v>1.1265815935345899E-3</v>
      </c>
      <c r="D23" s="35">
        <v>1.0445212389348099E-2</v>
      </c>
      <c r="E23" s="35">
        <v>4.1476247207334102E-2</v>
      </c>
      <c r="F23" s="35">
        <v>3.5833480074397698E-3</v>
      </c>
      <c r="G23" s="35">
        <v>3.6525685189057501E-2</v>
      </c>
      <c r="H23" s="35">
        <v>0.11772565565741799</v>
      </c>
      <c r="I23" s="35">
        <v>5.7261458642865297E-2</v>
      </c>
      <c r="J23" s="36">
        <v>0.73185581131300204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4.3448761579955204E-3</v>
      </c>
      <c r="D28">
        <v>3.25653909727068E-4</v>
      </c>
      <c r="E28">
        <v>1.16380378625295E-3</v>
      </c>
      <c r="F28">
        <v>1.1940100274293499E-3</v>
      </c>
      <c r="G28">
        <v>4.9796308269452205E-4</v>
      </c>
      <c r="H28">
        <v>6.0438550306360405E-4</v>
      </c>
      <c r="I28">
        <v>0</v>
      </c>
      <c r="J28">
        <v>9.3974972548815697E-5</v>
      </c>
    </row>
    <row r="29" spans="2:10" x14ac:dyDescent="0.3">
      <c r="B29" t="s">
        <v>11</v>
      </c>
      <c r="C29">
        <v>4.6306460987906398E-4</v>
      </c>
      <c r="D29">
        <v>1.4343761101282399E-2</v>
      </c>
      <c r="E29">
        <v>1.91267092186906E-3</v>
      </c>
      <c r="F29">
        <v>2.0334307166908101E-3</v>
      </c>
      <c r="G29">
        <v>2.3619521013084101E-3</v>
      </c>
      <c r="H29">
        <v>2.9588104827843699E-3</v>
      </c>
      <c r="I29">
        <v>7.0774493889052604E-4</v>
      </c>
      <c r="J29">
        <v>2.0702191161386602E-3</v>
      </c>
    </row>
    <row r="30" spans="2:10" x14ac:dyDescent="0.3">
      <c r="B30" t="s">
        <v>12</v>
      </c>
      <c r="C30">
        <v>7.3811410477662E-4</v>
      </c>
      <c r="D30">
        <v>1.9756901995769001E-3</v>
      </c>
      <c r="E30">
        <v>0.27023067075907498</v>
      </c>
      <c r="F30">
        <v>1.3535784880991E-3</v>
      </c>
      <c r="G30">
        <v>4.6766560368069103E-3</v>
      </c>
      <c r="H30">
        <v>1.6992004502456901E-2</v>
      </c>
      <c r="I30">
        <v>5.50411805237717E-3</v>
      </c>
      <c r="J30">
        <v>8.3107568563116803E-3</v>
      </c>
    </row>
    <row r="31" spans="2:10" x14ac:dyDescent="0.3">
      <c r="B31" t="s">
        <v>5</v>
      </c>
      <c r="C31">
        <v>1.19358642318416E-3</v>
      </c>
      <c r="D31">
        <v>1.22040383039903E-3</v>
      </c>
      <c r="E31">
        <v>1.17195002173741E-3</v>
      </c>
      <c r="F31">
        <v>9.3046953402425095E-3</v>
      </c>
      <c r="G31">
        <v>5.9663680387077797E-3</v>
      </c>
      <c r="H31">
        <v>1.4894576959800199E-3</v>
      </c>
      <c r="I31">
        <v>1.7048441621893301E-4</v>
      </c>
      <c r="J31">
        <v>1.0606724450195901E-3</v>
      </c>
    </row>
    <row r="32" spans="2:10" x14ac:dyDescent="0.3">
      <c r="B32" t="s">
        <v>13</v>
      </c>
      <c r="C32">
        <v>7.9937379561981496E-4</v>
      </c>
      <c r="D32">
        <v>2.36726344684428E-3</v>
      </c>
      <c r="E32">
        <v>4.6479161180177104E-3</v>
      </c>
      <c r="F32">
        <v>4.7692624417943301E-3</v>
      </c>
      <c r="G32">
        <v>4.7041772787676302E-2</v>
      </c>
      <c r="H32">
        <v>1.31880057956881E-2</v>
      </c>
      <c r="I32">
        <v>4.0476037326963397E-3</v>
      </c>
      <c r="J32">
        <v>1.08969585280365E-2</v>
      </c>
    </row>
    <row r="33" spans="2:10" x14ac:dyDescent="0.3">
      <c r="B33" t="s">
        <v>14</v>
      </c>
      <c r="C33">
        <v>7.9780971840679696E-4</v>
      </c>
      <c r="D33">
        <v>2.5622843243424298E-3</v>
      </c>
      <c r="E33">
        <v>3.3662688892464501E-2</v>
      </c>
      <c r="F33">
        <v>1.9434311070584099E-3</v>
      </c>
      <c r="G33">
        <v>1.7846055830648501E-2</v>
      </c>
      <c r="H33">
        <v>0.100689327929707</v>
      </c>
      <c r="I33">
        <v>1.35547819021408E-2</v>
      </c>
      <c r="J33">
        <v>3.0061303354665399E-2</v>
      </c>
    </row>
    <row r="34" spans="2:10" x14ac:dyDescent="0.3">
      <c r="B34" t="s">
        <v>8</v>
      </c>
      <c r="C34">
        <v>9.2019876032543505E-5</v>
      </c>
      <c r="D34">
        <v>1.1465663519678101E-3</v>
      </c>
      <c r="E34">
        <v>8.7683146110032403E-3</v>
      </c>
      <c r="F34">
        <v>3.1998412982987899E-4</v>
      </c>
      <c r="G34">
        <v>4.9777734852547604E-3</v>
      </c>
      <c r="H34">
        <v>1.54050200752569E-2</v>
      </c>
      <c r="I34">
        <v>1.24243125114903E-2</v>
      </c>
      <c r="J34">
        <v>1.73211450009714E-2</v>
      </c>
    </row>
    <row r="35" spans="2:10" x14ac:dyDescent="0.3">
      <c r="B35" t="s">
        <v>9</v>
      </c>
      <c r="C35">
        <v>3.2021222442344402E-4</v>
      </c>
      <c r="D35">
        <v>2.9688792298431699E-3</v>
      </c>
      <c r="E35">
        <v>1.17889387286437E-2</v>
      </c>
      <c r="F35">
        <v>1.0185075301519899E-3</v>
      </c>
      <c r="G35">
        <v>1.03818231809407E-2</v>
      </c>
      <c r="H35">
        <v>3.3461574630823998E-2</v>
      </c>
      <c r="I35">
        <v>1.62756245539529E-2</v>
      </c>
      <c r="J35">
        <v>0.20801793553408099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5.2438947060613403E-4</v>
      </c>
    </row>
    <row r="41" spans="2:10" x14ac:dyDescent="0.3">
      <c r="B41" t="s">
        <v>11</v>
      </c>
      <c r="C41">
        <v>5.8848405139793502E-5</v>
      </c>
    </row>
    <row r="42" spans="2:10" x14ac:dyDescent="0.3">
      <c r="B42" t="s">
        <v>12</v>
      </c>
      <c r="C42">
        <v>2.3565364839583401E-2</v>
      </c>
    </row>
    <row r="43" spans="2:10" x14ac:dyDescent="0.3">
      <c r="B43" t="s">
        <v>5</v>
      </c>
      <c r="C43">
        <v>3.59281569806951E-4</v>
      </c>
    </row>
    <row r="44" spans="2:10" x14ac:dyDescent="0.3">
      <c r="B44" t="s">
        <v>13</v>
      </c>
      <c r="C44">
        <v>5.9922078976645098E-3</v>
      </c>
    </row>
    <row r="45" spans="2:10" x14ac:dyDescent="0.3">
      <c r="B45" t="s">
        <v>14</v>
      </c>
      <c r="C45">
        <v>-1.6329096443672898E-2</v>
      </c>
    </row>
    <row r="46" spans="2:10" x14ac:dyDescent="0.3">
      <c r="B46" t="s">
        <v>8</v>
      </c>
      <c r="C46">
        <v>-7.7704659340398601E-3</v>
      </c>
    </row>
    <row r="47" spans="2:10" x14ac:dyDescent="0.3">
      <c r="B47" t="s">
        <v>9</v>
      </c>
      <c r="C47">
        <v>-6.4005298050879298E-3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7"/>
  <sheetViews>
    <sheetView topLeftCell="A16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139714</v>
      </c>
      <c r="D4" s="4">
        <v>23063</v>
      </c>
      <c r="E4" s="4">
        <v>31839</v>
      </c>
      <c r="F4" s="4">
        <v>92198</v>
      </c>
      <c r="G4" s="4">
        <v>25460</v>
      </c>
      <c r="H4" s="5">
        <v>49063</v>
      </c>
      <c r="I4" s="4">
        <v>1910</v>
      </c>
      <c r="J4" s="4">
        <v>11626</v>
      </c>
      <c r="K4" s="15">
        <f>SUM(C4:J4)</f>
        <v>374873</v>
      </c>
      <c r="L4" s="18">
        <f>K4/$K$12</f>
        <v>8.9080687156462765E-3</v>
      </c>
    </row>
    <row r="5" spans="1:12" ht="29.4" thickBot="1" x14ac:dyDescent="0.35">
      <c r="A5" s="49"/>
      <c r="B5" s="13" t="s">
        <v>11</v>
      </c>
      <c r="C5" s="4">
        <v>23278</v>
      </c>
      <c r="D5" s="4">
        <v>585915</v>
      </c>
      <c r="E5" s="4">
        <v>92036</v>
      </c>
      <c r="F5" s="4">
        <v>64518</v>
      </c>
      <c r="G5" s="4">
        <v>129853</v>
      </c>
      <c r="H5" s="5">
        <v>96378</v>
      </c>
      <c r="I5" s="4">
        <v>37977</v>
      </c>
      <c r="J5" s="4">
        <v>102133</v>
      </c>
      <c r="K5" s="15">
        <f t="shared" ref="K5:K11" si="0">SUM(C5:J5)</f>
        <v>1132088</v>
      </c>
      <c r="L5" s="18">
        <f t="shared" ref="L5:L12" si="1">K5/$K$12</f>
        <v>2.690169122918578E-2</v>
      </c>
    </row>
    <row r="6" spans="1:12" ht="29.4" thickBot="1" x14ac:dyDescent="0.35">
      <c r="A6" s="49"/>
      <c r="B6" s="13" t="s">
        <v>12</v>
      </c>
      <c r="C6" s="4">
        <v>27934</v>
      </c>
      <c r="D6" s="4">
        <v>106376</v>
      </c>
      <c r="E6" s="4">
        <v>11734631</v>
      </c>
      <c r="F6" s="4">
        <v>54807</v>
      </c>
      <c r="G6" s="4">
        <v>205088</v>
      </c>
      <c r="H6" s="5">
        <v>760890</v>
      </c>
      <c r="I6" s="4">
        <v>343750</v>
      </c>
      <c r="J6" s="4">
        <v>425084</v>
      </c>
      <c r="K6" s="15">
        <f t="shared" si="0"/>
        <v>13658560</v>
      </c>
      <c r="L6" s="18">
        <f t="shared" si="1"/>
        <v>0.32456696277613378</v>
      </c>
    </row>
    <row r="7" spans="1:12" ht="29.4" thickBot="1" x14ac:dyDescent="0.35">
      <c r="A7" s="49"/>
      <c r="B7" s="13" t="s">
        <v>5</v>
      </c>
      <c r="C7" s="4">
        <v>38818</v>
      </c>
      <c r="D7" s="4">
        <v>80564</v>
      </c>
      <c r="E7" s="4">
        <v>43148</v>
      </c>
      <c r="F7" s="4">
        <v>352942</v>
      </c>
      <c r="G7" s="4">
        <v>241094</v>
      </c>
      <c r="H7" s="5">
        <v>83919</v>
      </c>
      <c r="I7" s="4">
        <v>11370</v>
      </c>
      <c r="J7" s="4">
        <v>83038</v>
      </c>
      <c r="K7" s="15">
        <f t="shared" si="0"/>
        <v>934893</v>
      </c>
      <c r="L7" s="18">
        <f t="shared" si="1"/>
        <v>2.2215766635038249E-2</v>
      </c>
    </row>
    <row r="8" spans="1:12" ht="43.8" thickBot="1" x14ac:dyDescent="0.35">
      <c r="A8" s="49"/>
      <c r="B8" s="13" t="s">
        <v>13</v>
      </c>
      <c r="C8" s="4">
        <v>13726</v>
      </c>
      <c r="D8" s="4">
        <v>140537</v>
      </c>
      <c r="E8" s="4">
        <v>145728</v>
      </c>
      <c r="F8" s="4">
        <v>195651</v>
      </c>
      <c r="G8" s="4">
        <v>2103068</v>
      </c>
      <c r="H8" s="5">
        <v>622043</v>
      </c>
      <c r="I8" s="4">
        <v>177636</v>
      </c>
      <c r="J8" s="4">
        <v>528969</v>
      </c>
      <c r="K8" s="15">
        <f t="shared" si="0"/>
        <v>3927358</v>
      </c>
      <c r="L8" s="18">
        <f t="shared" si="1"/>
        <v>9.3325406030690727E-2</v>
      </c>
    </row>
    <row r="9" spans="1:12" ht="29.4" thickBot="1" x14ac:dyDescent="0.35">
      <c r="A9" s="49"/>
      <c r="B9" s="8" t="s">
        <v>14</v>
      </c>
      <c r="C9" s="6">
        <v>27191</v>
      </c>
      <c r="D9" s="6">
        <v>165366</v>
      </c>
      <c r="E9" s="6">
        <v>1131842</v>
      </c>
      <c r="F9" s="6">
        <v>70987</v>
      </c>
      <c r="G9" s="6">
        <v>620128</v>
      </c>
      <c r="H9" s="7">
        <v>3978913</v>
      </c>
      <c r="I9" s="4">
        <v>519313</v>
      </c>
      <c r="J9" s="4">
        <v>1121959</v>
      </c>
      <c r="K9" s="15">
        <f t="shared" si="0"/>
        <v>7635699</v>
      </c>
      <c r="L9" s="18">
        <f t="shared" si="1"/>
        <v>0.18144633351559475</v>
      </c>
    </row>
    <row r="10" spans="1:12" ht="29.4" thickBot="1" x14ac:dyDescent="0.35">
      <c r="A10" s="49"/>
      <c r="B10" s="13" t="s">
        <v>8</v>
      </c>
      <c r="C10" s="4">
        <v>932</v>
      </c>
      <c r="D10" s="4">
        <v>66856</v>
      </c>
      <c r="E10" s="4">
        <v>341580</v>
      </c>
      <c r="F10" s="4">
        <v>18396</v>
      </c>
      <c r="G10" s="4">
        <v>223549</v>
      </c>
      <c r="H10" s="4">
        <v>562374</v>
      </c>
      <c r="I10" s="4">
        <v>541979</v>
      </c>
      <c r="J10" s="4">
        <v>665719</v>
      </c>
      <c r="K10" s="15">
        <f t="shared" si="0"/>
        <v>2421385</v>
      </c>
      <c r="L10" s="18">
        <f t="shared" si="1"/>
        <v>5.7539123828697074E-2</v>
      </c>
    </row>
    <row r="11" spans="1:12" ht="15" thickBot="1" x14ac:dyDescent="0.35">
      <c r="A11" s="49"/>
      <c r="B11" s="13" t="s">
        <v>9</v>
      </c>
      <c r="C11" s="4">
        <v>11368</v>
      </c>
      <c r="D11" s="4">
        <v>124922</v>
      </c>
      <c r="E11" s="4">
        <v>488861</v>
      </c>
      <c r="F11" s="4">
        <v>41264</v>
      </c>
      <c r="G11" s="4">
        <v>475797</v>
      </c>
      <c r="H11" s="4">
        <v>1288475</v>
      </c>
      <c r="I11" s="4">
        <v>826653</v>
      </c>
      <c r="J11" s="4">
        <v>8740214</v>
      </c>
      <c r="K11" s="15">
        <f t="shared" si="0"/>
        <v>11997554</v>
      </c>
      <c r="L11" s="18">
        <f t="shared" si="1"/>
        <v>0.28509664726901335</v>
      </c>
    </row>
    <row r="12" spans="1:12" ht="15" thickBot="1" x14ac:dyDescent="0.35">
      <c r="A12" s="50"/>
      <c r="B12" s="20" t="s">
        <v>18</v>
      </c>
      <c r="C12" s="21">
        <f>SUM(C4:C11)</f>
        <v>282961</v>
      </c>
      <c r="D12" s="21">
        <f t="shared" ref="D12:J12" si="2">SUM(D4:D11)</f>
        <v>1293599</v>
      </c>
      <c r="E12" s="21">
        <f t="shared" si="2"/>
        <v>14009665</v>
      </c>
      <c r="F12" s="21">
        <f t="shared" si="2"/>
        <v>890763</v>
      </c>
      <c r="G12" s="21">
        <f t="shared" si="2"/>
        <v>4024037</v>
      </c>
      <c r="H12" s="21">
        <f t="shared" si="2"/>
        <v>7442055</v>
      </c>
      <c r="I12" s="21">
        <f t="shared" si="2"/>
        <v>2460588</v>
      </c>
      <c r="J12" s="21">
        <f t="shared" si="2"/>
        <v>11678742</v>
      </c>
      <c r="K12" s="22">
        <f>SUM(K4:K11)</f>
        <v>42082410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6.7239732705422529E-3</v>
      </c>
      <c r="D13" s="18">
        <f t="shared" ref="D13:K13" si="3">D12/$K$12</f>
        <v>3.0739660585028281E-2</v>
      </c>
      <c r="E13" s="18">
        <f t="shared" si="3"/>
        <v>0.33291023494139238</v>
      </c>
      <c r="F13" s="18">
        <f t="shared" si="3"/>
        <v>2.1167109963521575E-2</v>
      </c>
      <c r="G13" s="18">
        <f t="shared" si="3"/>
        <v>9.5622779208700256E-2</v>
      </c>
      <c r="H13" s="18">
        <f t="shared" si="3"/>
        <v>0.17684479097085931</v>
      </c>
      <c r="I13" s="18">
        <f t="shared" si="3"/>
        <v>5.847070070369069E-2</v>
      </c>
      <c r="J13" s="18">
        <f t="shared" si="3"/>
        <v>0.27752075035626522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0.37269688667895501</v>
      </c>
      <c r="D16" s="23">
        <v>6.1522168841180898E-2</v>
      </c>
      <c r="E16" s="23">
        <v>8.4932763896039501E-2</v>
      </c>
      <c r="F16" s="23">
        <v>0.245944626580202</v>
      </c>
      <c r="G16" s="23">
        <v>6.7916334331893702E-2</v>
      </c>
      <c r="H16" s="24">
        <v>0.13087899101829201</v>
      </c>
      <c r="I16" s="23">
        <v>5.0950588599338997E-3</v>
      </c>
      <c r="J16" s="32">
        <v>3.1013169793503399E-2</v>
      </c>
    </row>
    <row r="17" spans="2:10" ht="29.4" thickBot="1" x14ac:dyDescent="0.35">
      <c r="B17" s="31" t="s">
        <v>11</v>
      </c>
      <c r="C17" s="23">
        <v>2.0562005780469399E-2</v>
      </c>
      <c r="D17" s="23">
        <v>0.51755252241875205</v>
      </c>
      <c r="E17" s="23">
        <v>8.1297566973592195E-2</v>
      </c>
      <c r="F17" s="23">
        <v>5.6990269307686303E-2</v>
      </c>
      <c r="G17" s="23">
        <v>0.114702213962165</v>
      </c>
      <c r="H17" s="24">
        <v>8.5132957861933006E-2</v>
      </c>
      <c r="I17" s="23">
        <v>3.3545978757835097E-2</v>
      </c>
      <c r="J17" s="32">
        <v>9.0216484937566704E-2</v>
      </c>
    </row>
    <row r="18" spans="2:10" ht="29.4" thickBot="1" x14ac:dyDescent="0.35">
      <c r="B18" s="31" t="s">
        <v>12</v>
      </c>
      <c r="C18" s="23">
        <v>2.0451643511468299E-3</v>
      </c>
      <c r="D18" s="23">
        <v>7.7882295058922801E-3</v>
      </c>
      <c r="E18" s="23">
        <v>0.85914115397230795</v>
      </c>
      <c r="F18" s="23">
        <v>4.0126484783168902E-3</v>
      </c>
      <c r="G18" s="23">
        <v>1.50153456879788E-2</v>
      </c>
      <c r="H18" s="24">
        <v>5.5707922357847398E-2</v>
      </c>
      <c r="I18" s="23">
        <v>2.5167367570227001E-2</v>
      </c>
      <c r="J18" s="32">
        <v>3.1122168076283301E-2</v>
      </c>
    </row>
    <row r="19" spans="2:10" ht="29.4" thickBot="1" x14ac:dyDescent="0.35">
      <c r="B19" s="31" t="s">
        <v>5</v>
      </c>
      <c r="C19" s="23">
        <v>4.1521329178847197E-2</v>
      </c>
      <c r="D19" s="23">
        <v>8.6174567570834304E-2</v>
      </c>
      <c r="E19" s="23">
        <v>4.6152875248825297E-2</v>
      </c>
      <c r="F19" s="23">
        <v>0.37752127783607298</v>
      </c>
      <c r="G19" s="23">
        <v>0.25788405731992903</v>
      </c>
      <c r="H19" s="24">
        <v>8.9763213544223799E-2</v>
      </c>
      <c r="I19" s="23">
        <v>1.21618195879101E-2</v>
      </c>
      <c r="J19" s="32">
        <v>8.8820859713357597E-2</v>
      </c>
    </row>
    <row r="20" spans="2:10" ht="43.8" thickBot="1" x14ac:dyDescent="0.35">
      <c r="B20" s="31" t="s">
        <v>13</v>
      </c>
      <c r="C20" s="23">
        <v>3.4949704101332199E-3</v>
      </c>
      <c r="D20" s="23">
        <v>3.5784107280263197E-2</v>
      </c>
      <c r="E20" s="23">
        <v>3.7105860988481301E-2</v>
      </c>
      <c r="F20" s="23">
        <v>4.9817459982003202E-2</v>
      </c>
      <c r="G20" s="23">
        <v>0.535491798812331</v>
      </c>
      <c r="H20" s="24">
        <v>0.15838713964960699</v>
      </c>
      <c r="I20" s="23">
        <v>4.5230406802741201E-2</v>
      </c>
      <c r="J20" s="32">
        <v>0.13468825607443999</v>
      </c>
    </row>
    <row r="21" spans="2:10" ht="29.4" thickBot="1" x14ac:dyDescent="0.35">
      <c r="B21" s="33" t="s">
        <v>14</v>
      </c>
      <c r="C21" s="25">
        <v>3.5610361277991702E-3</v>
      </c>
      <c r="D21" s="25">
        <v>2.16569563572372E-2</v>
      </c>
      <c r="E21" s="25">
        <v>0.14823030609247401</v>
      </c>
      <c r="F21" s="25">
        <v>9.2967258138383895E-3</v>
      </c>
      <c r="G21" s="25">
        <v>8.1214306640426795E-2</v>
      </c>
      <c r="H21" s="26">
        <v>0.52109348469603101</v>
      </c>
      <c r="I21" s="23">
        <v>6.8011193212304505E-2</v>
      </c>
      <c r="J21" s="32">
        <v>0.146935991059889</v>
      </c>
    </row>
    <row r="22" spans="2:10" ht="29.4" thickBot="1" x14ac:dyDescent="0.35">
      <c r="B22" s="31" t="s">
        <v>8</v>
      </c>
      <c r="C22" s="23">
        <v>3.8490368115768502E-4</v>
      </c>
      <c r="D22" s="23">
        <v>2.7610644321328499E-2</v>
      </c>
      <c r="E22" s="23">
        <v>0.14106802511785599</v>
      </c>
      <c r="F22" s="23">
        <v>7.5973048482583299E-3</v>
      </c>
      <c r="G22" s="23">
        <v>9.23227822093554E-2</v>
      </c>
      <c r="H22" s="23">
        <v>0.232253028741815</v>
      </c>
      <c r="I22" s="23">
        <v>0.223830163315623</v>
      </c>
      <c r="J22" s="32">
        <v>0.27493314776460598</v>
      </c>
    </row>
    <row r="23" spans="2:10" ht="15" thickBot="1" x14ac:dyDescent="0.35">
      <c r="B23" s="34" t="s">
        <v>9</v>
      </c>
      <c r="C23" s="35">
        <v>9.4752647081230101E-4</v>
      </c>
      <c r="D23" s="35">
        <v>1.0412289038248999E-2</v>
      </c>
      <c r="E23" s="35">
        <v>4.0746722206876501E-2</v>
      </c>
      <c r="F23" s="35">
        <v>3.4393677244544999E-3</v>
      </c>
      <c r="G23" s="35">
        <v>3.9657833588413099E-2</v>
      </c>
      <c r="H23" s="35">
        <v>0.107394807308223</v>
      </c>
      <c r="I23" s="35">
        <v>6.8901794482442005E-2</v>
      </c>
      <c r="J23" s="36">
        <v>0.72849965918052995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3.3200094766435702E-3</v>
      </c>
      <c r="D28">
        <v>5.4804370757283204E-4</v>
      </c>
      <c r="E28">
        <v>7.5658689699568103E-4</v>
      </c>
      <c r="F28">
        <v>2.1908916338204002E-3</v>
      </c>
      <c r="G28">
        <v>6.0500337314331595E-4</v>
      </c>
      <c r="H28">
        <v>1.1658790454253901E-3</v>
      </c>
      <c r="I28">
        <v>4.53871344345535E-5</v>
      </c>
      <c r="J28">
        <v>2.76267447610534E-4</v>
      </c>
    </row>
    <row r="29" spans="2:10" x14ac:dyDescent="0.3">
      <c r="B29" t="s">
        <v>11</v>
      </c>
      <c r="C29">
        <v>5.5315273055892001E-4</v>
      </c>
      <c r="D29">
        <v>1.39230381529955E-2</v>
      </c>
      <c r="E29">
        <v>2.1870420444076301E-3</v>
      </c>
      <c r="F29">
        <v>1.53313462798352E-3</v>
      </c>
      <c r="G29">
        <v>3.0856835433141802E-3</v>
      </c>
      <c r="H29">
        <v>2.29022054582901E-3</v>
      </c>
      <c r="I29">
        <v>9.0244356252410505E-4</v>
      </c>
      <c r="J29">
        <v>2.4269760215729101E-3</v>
      </c>
    </row>
    <row r="30" spans="2:10" x14ac:dyDescent="0.3">
      <c r="B30" t="s">
        <v>12</v>
      </c>
      <c r="C30">
        <v>6.6379278182974804E-4</v>
      </c>
      <c r="D30">
        <v>2.52780199613092E-3</v>
      </c>
      <c r="E30">
        <v>0.278848834940775</v>
      </c>
      <c r="F30">
        <v>1.30237312929559E-3</v>
      </c>
      <c r="G30">
        <v>4.8734851449809997E-3</v>
      </c>
      <c r="H30">
        <v>1.80809511622552E-2</v>
      </c>
      <c r="I30">
        <v>8.1684960533391499E-3</v>
      </c>
      <c r="J30">
        <v>1.01012275675276E-2</v>
      </c>
    </row>
    <row r="31" spans="2:10" x14ac:dyDescent="0.3">
      <c r="B31" t="s">
        <v>5</v>
      </c>
      <c r="C31">
        <v>9.2242815941387401E-4</v>
      </c>
      <c r="D31">
        <v>1.9144340830289899E-3</v>
      </c>
      <c r="E31">
        <v>1.02532150606393E-3</v>
      </c>
      <c r="F31">
        <v>8.38692460816764E-3</v>
      </c>
      <c r="G31">
        <v>5.7290920363163604E-3</v>
      </c>
      <c r="H31">
        <v>1.9941586045095802E-3</v>
      </c>
      <c r="I31">
        <v>2.7018414582244703E-4</v>
      </c>
      <c r="J31">
        <v>1.9732234917154202E-3</v>
      </c>
    </row>
    <row r="32" spans="2:10" x14ac:dyDescent="0.3">
      <c r="B32" t="s">
        <v>13</v>
      </c>
      <c r="C32">
        <v>3.2616953259093301E-4</v>
      </c>
      <c r="D32">
        <v>3.3395663413763599E-3</v>
      </c>
      <c r="E32">
        <v>3.4629195428683901E-3</v>
      </c>
      <c r="F32">
        <v>4.6492346802381301E-3</v>
      </c>
      <c r="G32">
        <v>4.9974989550265803E-2</v>
      </c>
      <c r="H32">
        <v>1.47815441178393E-2</v>
      </c>
      <c r="I32">
        <v>4.2211460797991398E-3</v>
      </c>
      <c r="J32">
        <v>1.25698361857127E-2</v>
      </c>
    </row>
    <row r="33" spans="2:10" x14ac:dyDescent="0.3">
      <c r="B33" t="s">
        <v>14</v>
      </c>
      <c r="C33">
        <v>6.4613694890572999E-4</v>
      </c>
      <c r="D33">
        <v>3.9295753261279504E-3</v>
      </c>
      <c r="E33">
        <v>2.6895845556373799E-2</v>
      </c>
      <c r="F33">
        <v>1.68685681262076E-3</v>
      </c>
      <c r="G33">
        <v>1.47360381689167E-2</v>
      </c>
      <c r="H33">
        <v>9.4550502216959501E-2</v>
      </c>
      <c r="I33">
        <v>1.23403816463934E-2</v>
      </c>
      <c r="J33">
        <v>2.6660996839296999E-2</v>
      </c>
    </row>
    <row r="34" spans="2:10" x14ac:dyDescent="0.3">
      <c r="B34" t="s">
        <v>8</v>
      </c>
      <c r="C34">
        <v>2.2147020572253299E-5</v>
      </c>
      <c r="D34">
        <v>1.5886922825950299E-3</v>
      </c>
      <c r="E34">
        <v>8.11693056552607E-3</v>
      </c>
      <c r="F34">
        <v>4.3714226442829698E-4</v>
      </c>
      <c r="G34">
        <v>5.3121719977539299E-3</v>
      </c>
      <c r="H34">
        <v>1.33636357803652E-2</v>
      </c>
      <c r="I34">
        <v>1.28789914836151E-2</v>
      </c>
      <c r="J34">
        <v>1.58194124338411E-2</v>
      </c>
    </row>
    <row r="35" spans="2:10" x14ac:dyDescent="0.3">
      <c r="B35" t="s">
        <v>9</v>
      </c>
      <c r="C35">
        <v>2.70136620027228E-4</v>
      </c>
      <c r="D35">
        <v>2.9685086952006799E-3</v>
      </c>
      <c r="E35">
        <v>1.1616753888382301E-2</v>
      </c>
      <c r="F35">
        <v>9.8055220696723392E-4</v>
      </c>
      <c r="G35">
        <v>1.1306315394009E-2</v>
      </c>
      <c r="H35">
        <v>3.0617899497676099E-2</v>
      </c>
      <c r="I35">
        <v>1.96436705977628E-2</v>
      </c>
      <c r="J35">
        <v>0.20769281036898801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-2.1840954451040201E-3</v>
      </c>
    </row>
    <row r="41" spans="2:10" x14ac:dyDescent="0.3">
      <c r="B41" t="s">
        <v>11</v>
      </c>
      <c r="C41">
        <v>3.8379693558425001E-3</v>
      </c>
    </row>
    <row r="42" spans="2:10" x14ac:dyDescent="0.3">
      <c r="B42" t="s">
        <v>12</v>
      </c>
      <c r="C42">
        <v>8.3432721652586007E-3</v>
      </c>
    </row>
    <row r="43" spans="2:10" x14ac:dyDescent="0.3">
      <c r="B43" t="s">
        <v>5</v>
      </c>
      <c r="C43">
        <v>-1.04865667151667E-3</v>
      </c>
    </row>
    <row r="44" spans="2:10" x14ac:dyDescent="0.3">
      <c r="B44" t="s">
        <v>13</v>
      </c>
      <c r="C44">
        <v>2.29737317800953E-3</v>
      </c>
    </row>
    <row r="45" spans="2:10" x14ac:dyDescent="0.3">
      <c r="B45" t="s">
        <v>14</v>
      </c>
      <c r="C45">
        <v>-4.60154254473544E-3</v>
      </c>
    </row>
    <row r="46" spans="2:10" x14ac:dyDescent="0.3">
      <c r="B46" t="s">
        <v>8</v>
      </c>
      <c r="C46">
        <v>9.3157687499361601E-4</v>
      </c>
    </row>
    <row r="47" spans="2:10" x14ac:dyDescent="0.3">
      <c r="B47" t="s">
        <v>9</v>
      </c>
      <c r="C47">
        <v>-7.57589691274813E-3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7"/>
  <sheetViews>
    <sheetView topLeftCell="A10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173616</v>
      </c>
      <c r="D4" s="4">
        <v>13162</v>
      </c>
      <c r="E4" s="4">
        <v>33805</v>
      </c>
      <c r="F4" s="4">
        <v>53342</v>
      </c>
      <c r="G4" s="4">
        <v>39716</v>
      </c>
      <c r="H4" s="5">
        <v>21286</v>
      </c>
      <c r="I4" s="4">
        <v>1921</v>
      </c>
      <c r="J4" s="4">
        <v>12611</v>
      </c>
      <c r="K4" s="15">
        <f>SUM(C4:J4)</f>
        <v>349459</v>
      </c>
      <c r="L4" s="18">
        <f>K4/$K$12</f>
        <v>8.1362831561297509E-3</v>
      </c>
    </row>
    <row r="5" spans="1:12" ht="29.4" thickBot="1" x14ac:dyDescent="0.35">
      <c r="A5" s="49"/>
      <c r="B5" s="13" t="s">
        <v>11</v>
      </c>
      <c r="C5" s="4">
        <v>30036</v>
      </c>
      <c r="D5" s="4">
        <v>637346</v>
      </c>
      <c r="E5" s="4">
        <v>86526</v>
      </c>
      <c r="F5" s="4">
        <v>90578</v>
      </c>
      <c r="G5" s="4">
        <v>147786</v>
      </c>
      <c r="H5" s="5">
        <v>110630</v>
      </c>
      <c r="I5" s="4">
        <v>59159</v>
      </c>
      <c r="J5" s="4">
        <v>103596</v>
      </c>
      <c r="K5" s="15">
        <f t="shared" ref="K5:K11" si="0">SUM(C5:J5)</f>
        <v>1265657</v>
      </c>
      <c r="L5" s="18">
        <f t="shared" ref="L5:L12" si="1">K5/$K$12</f>
        <v>2.9467673548363934E-2</v>
      </c>
    </row>
    <row r="6" spans="1:12" ht="29.4" thickBot="1" x14ac:dyDescent="0.35">
      <c r="A6" s="49"/>
      <c r="B6" s="13" t="s">
        <v>12</v>
      </c>
      <c r="C6" s="4">
        <v>25754</v>
      </c>
      <c r="D6" s="4">
        <v>127170</v>
      </c>
      <c r="E6" s="4">
        <v>12351639</v>
      </c>
      <c r="F6" s="4">
        <v>38070</v>
      </c>
      <c r="G6" s="4">
        <v>156524</v>
      </c>
      <c r="H6" s="5">
        <v>756674</v>
      </c>
      <c r="I6" s="4">
        <v>237372</v>
      </c>
      <c r="J6" s="4">
        <v>424417</v>
      </c>
      <c r="K6" s="15">
        <f t="shared" si="0"/>
        <v>14117620</v>
      </c>
      <c r="L6" s="18">
        <f t="shared" si="1"/>
        <v>0.32869364878466573</v>
      </c>
    </row>
    <row r="7" spans="1:12" ht="29.4" thickBot="1" x14ac:dyDescent="0.35">
      <c r="A7" s="49"/>
      <c r="B7" s="13" t="s">
        <v>5</v>
      </c>
      <c r="C7" s="4">
        <v>50446</v>
      </c>
      <c r="D7" s="4">
        <v>78224</v>
      </c>
      <c r="E7" s="4">
        <v>49112</v>
      </c>
      <c r="F7" s="4">
        <v>345585</v>
      </c>
      <c r="G7" s="4">
        <v>200027</v>
      </c>
      <c r="H7" s="5">
        <v>98686</v>
      </c>
      <c r="I7" s="4">
        <v>8614</v>
      </c>
      <c r="J7" s="4">
        <v>35849</v>
      </c>
      <c r="K7" s="15">
        <f t="shared" si="0"/>
        <v>866543</v>
      </c>
      <c r="L7" s="18">
        <f t="shared" si="1"/>
        <v>2.017529728798555E-2</v>
      </c>
    </row>
    <row r="8" spans="1:12" ht="43.8" thickBot="1" x14ac:dyDescent="0.35">
      <c r="A8" s="49"/>
      <c r="B8" s="13" t="s">
        <v>13</v>
      </c>
      <c r="C8" s="4">
        <v>27706</v>
      </c>
      <c r="D8" s="4">
        <v>104420</v>
      </c>
      <c r="E8" s="4">
        <v>175642</v>
      </c>
      <c r="F8" s="4">
        <v>227250</v>
      </c>
      <c r="G8" s="4">
        <v>2166209</v>
      </c>
      <c r="H8" s="5">
        <v>598241</v>
      </c>
      <c r="I8" s="4">
        <v>181392</v>
      </c>
      <c r="J8" s="4">
        <v>535321</v>
      </c>
      <c r="K8" s="15">
        <f t="shared" si="0"/>
        <v>4016181</v>
      </c>
      <c r="L8" s="18">
        <f t="shared" si="1"/>
        <v>9.3506779972094972E-2</v>
      </c>
    </row>
    <row r="9" spans="1:12" ht="29.4" thickBot="1" x14ac:dyDescent="0.35">
      <c r="A9" s="49"/>
      <c r="B9" s="8" t="s">
        <v>14</v>
      </c>
      <c r="C9" s="6">
        <v>21562</v>
      </c>
      <c r="D9" s="6">
        <v>110186</v>
      </c>
      <c r="E9" s="6">
        <v>1151611</v>
      </c>
      <c r="F9" s="6">
        <v>81606</v>
      </c>
      <c r="G9" s="6">
        <v>646246</v>
      </c>
      <c r="H9" s="7">
        <v>3883334</v>
      </c>
      <c r="I9" s="4">
        <v>433932</v>
      </c>
      <c r="J9" s="4">
        <v>1216388</v>
      </c>
      <c r="K9" s="15">
        <f t="shared" si="0"/>
        <v>7544865</v>
      </c>
      <c r="L9" s="18">
        <f t="shared" si="1"/>
        <v>0.17566340547753212</v>
      </c>
    </row>
    <row r="10" spans="1:12" ht="29.4" thickBot="1" x14ac:dyDescent="0.35">
      <c r="A10" s="49"/>
      <c r="B10" s="13" t="s">
        <v>8</v>
      </c>
      <c r="C10" s="4">
        <v>444</v>
      </c>
      <c r="D10" s="4">
        <v>49772</v>
      </c>
      <c r="E10" s="4">
        <v>421472</v>
      </c>
      <c r="F10" s="4">
        <v>26540</v>
      </c>
      <c r="G10" s="4">
        <v>215637</v>
      </c>
      <c r="H10" s="4">
        <v>672766</v>
      </c>
      <c r="I10" s="4">
        <v>622213</v>
      </c>
      <c r="J10" s="4">
        <v>733486</v>
      </c>
      <c r="K10" s="15">
        <f t="shared" si="0"/>
        <v>2742330</v>
      </c>
      <c r="L10" s="18">
        <f t="shared" si="1"/>
        <v>6.3848329525206957E-2</v>
      </c>
    </row>
    <row r="11" spans="1:12" ht="15" thickBot="1" x14ac:dyDescent="0.35">
      <c r="A11" s="49"/>
      <c r="B11" s="13" t="s">
        <v>9</v>
      </c>
      <c r="C11" s="4">
        <v>12720</v>
      </c>
      <c r="D11" s="4">
        <v>99926</v>
      </c>
      <c r="E11" s="4">
        <v>475280</v>
      </c>
      <c r="F11" s="4">
        <v>39197</v>
      </c>
      <c r="G11" s="4">
        <v>428655</v>
      </c>
      <c r="H11" s="4">
        <v>1265855</v>
      </c>
      <c r="I11" s="4">
        <v>752407</v>
      </c>
      <c r="J11" s="4">
        <v>8973998</v>
      </c>
      <c r="K11" s="15">
        <f t="shared" si="0"/>
        <v>12048038</v>
      </c>
      <c r="L11" s="18">
        <f t="shared" si="1"/>
        <v>0.280508582248021</v>
      </c>
    </row>
    <row r="12" spans="1:12" ht="15" thickBot="1" x14ac:dyDescent="0.35">
      <c r="A12" s="50"/>
      <c r="B12" s="20" t="s">
        <v>18</v>
      </c>
      <c r="C12" s="21">
        <f>SUM(C4:C11)</f>
        <v>342284</v>
      </c>
      <c r="D12" s="21">
        <f t="shared" ref="D12:J12" si="2">SUM(D4:D11)</f>
        <v>1220206</v>
      </c>
      <c r="E12" s="21">
        <f t="shared" si="2"/>
        <v>14745087</v>
      </c>
      <c r="F12" s="21">
        <f t="shared" si="2"/>
        <v>902168</v>
      </c>
      <c r="G12" s="21">
        <f t="shared" si="2"/>
        <v>4000800</v>
      </c>
      <c r="H12" s="21">
        <f t="shared" si="2"/>
        <v>7407472</v>
      </c>
      <c r="I12" s="21">
        <f t="shared" si="2"/>
        <v>2297010</v>
      </c>
      <c r="J12" s="21">
        <f t="shared" si="2"/>
        <v>12035666</v>
      </c>
      <c r="K12" s="22">
        <f>SUM(K4:K11)</f>
        <v>42950693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7.9692311367362562E-3</v>
      </c>
      <c r="D13" s="18">
        <f t="shared" ref="D13:K13" si="3">D12/$K$12</f>
        <v>2.8409460122098613E-2</v>
      </c>
      <c r="E13" s="18">
        <f t="shared" si="3"/>
        <v>0.343302656373903</v>
      </c>
      <c r="F13" s="18">
        <f t="shared" si="3"/>
        <v>2.1004736757099587E-2</v>
      </c>
      <c r="G13" s="18">
        <f t="shared" si="3"/>
        <v>9.3148671664040436E-2</v>
      </c>
      <c r="H13" s="18">
        <f t="shared" si="3"/>
        <v>0.17246455138686587</v>
      </c>
      <c r="I13" s="18">
        <f t="shared" si="3"/>
        <v>5.3480161542445892E-2</v>
      </c>
      <c r="J13" s="18">
        <f t="shared" si="3"/>
        <v>0.28022053101681038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0.49681364623603902</v>
      </c>
      <c r="D16" s="23">
        <v>3.7663931963406297E-2</v>
      </c>
      <c r="E16" s="23">
        <v>9.6735239327074105E-2</v>
      </c>
      <c r="F16" s="23">
        <v>0.15264165467193599</v>
      </c>
      <c r="G16" s="23">
        <v>0.11364995607496201</v>
      </c>
      <c r="H16" s="24">
        <v>6.0911294314926798E-2</v>
      </c>
      <c r="I16" s="23">
        <v>5.4970683256118699E-3</v>
      </c>
      <c r="J16" s="32">
        <v>3.6087209086044403E-2</v>
      </c>
    </row>
    <row r="17" spans="2:10" ht="29.4" thickBot="1" x14ac:dyDescent="0.35">
      <c r="B17" s="31" t="s">
        <v>11</v>
      </c>
      <c r="C17" s="23">
        <v>2.3731548120857399E-2</v>
      </c>
      <c r="D17" s="23">
        <v>0.50356929247023496</v>
      </c>
      <c r="E17" s="23">
        <v>6.8364493697739601E-2</v>
      </c>
      <c r="F17" s="23">
        <v>7.1565992998102998E-2</v>
      </c>
      <c r="G17" s="23">
        <v>0.116766232873519</v>
      </c>
      <c r="H17" s="24">
        <v>8.7409147976110393E-2</v>
      </c>
      <c r="I17" s="23">
        <v>4.6741731764609197E-2</v>
      </c>
      <c r="J17" s="32">
        <v>8.1851560098826104E-2</v>
      </c>
    </row>
    <row r="18" spans="2:10" ht="29.4" thickBot="1" x14ac:dyDescent="0.35">
      <c r="B18" s="31" t="s">
        <v>12</v>
      </c>
      <c r="C18" s="23">
        <v>1.82424516313656E-3</v>
      </c>
      <c r="D18" s="23">
        <v>9.0078922651268406E-3</v>
      </c>
      <c r="E18" s="23">
        <v>0.87490943940975896</v>
      </c>
      <c r="F18" s="23">
        <v>2.69663016854116E-3</v>
      </c>
      <c r="G18" s="23">
        <v>1.10871379170143E-2</v>
      </c>
      <c r="H18" s="24">
        <v>5.3597844395868399E-2</v>
      </c>
      <c r="I18" s="23">
        <v>1.6813882226607599E-2</v>
      </c>
      <c r="J18" s="32">
        <v>3.0062928453946199E-2</v>
      </c>
    </row>
    <row r="19" spans="2:10" ht="29.4" thickBot="1" x14ac:dyDescent="0.35">
      <c r="B19" s="31" t="s">
        <v>5</v>
      </c>
      <c r="C19" s="23">
        <v>5.8215229942426401E-2</v>
      </c>
      <c r="D19" s="23">
        <v>9.0271342564650595E-2</v>
      </c>
      <c r="E19" s="23">
        <v>5.6675779505460197E-2</v>
      </c>
      <c r="F19" s="23">
        <v>0.39880883002920797</v>
      </c>
      <c r="G19" s="23">
        <v>0.23083332275490101</v>
      </c>
      <c r="H19" s="24">
        <v>0.113884712010829</v>
      </c>
      <c r="I19" s="23">
        <v>9.9406492234084196E-3</v>
      </c>
      <c r="J19" s="32">
        <v>4.1370133969116402E-2</v>
      </c>
    </row>
    <row r="20" spans="2:10" ht="43.8" thickBot="1" x14ac:dyDescent="0.35">
      <c r="B20" s="31" t="s">
        <v>13</v>
      </c>
      <c r="C20" s="23">
        <v>6.8985934647865701E-3</v>
      </c>
      <c r="D20" s="23">
        <v>2.5999824211109999E-2</v>
      </c>
      <c r="E20" s="23">
        <v>4.3733586708368001E-2</v>
      </c>
      <c r="F20" s="23">
        <v>5.65836051711813E-2</v>
      </c>
      <c r="G20" s="23">
        <v>0.53937036204294597</v>
      </c>
      <c r="H20" s="24">
        <v>0.14895767894923101</v>
      </c>
      <c r="I20" s="23">
        <v>4.5165295090037E-2</v>
      </c>
      <c r="J20" s="32">
        <v>0.13329105436234101</v>
      </c>
    </row>
    <row r="21" spans="2:10" ht="29.4" thickBot="1" x14ac:dyDescent="0.35">
      <c r="B21" s="33" t="s">
        <v>14</v>
      </c>
      <c r="C21" s="25">
        <v>2.8578377479252402E-3</v>
      </c>
      <c r="D21" s="25">
        <v>1.4604104911088499E-2</v>
      </c>
      <c r="E21" s="25">
        <v>0.152635070342544</v>
      </c>
      <c r="F21" s="25">
        <v>1.08160981011589E-2</v>
      </c>
      <c r="G21" s="25">
        <v>8.5653752585367698E-2</v>
      </c>
      <c r="H21" s="26">
        <v>0.51469893762181296</v>
      </c>
      <c r="I21" s="23">
        <v>5.75135539204479E-2</v>
      </c>
      <c r="J21" s="32">
        <v>0.161220644769655</v>
      </c>
    </row>
    <row r="22" spans="2:10" ht="29.4" thickBot="1" x14ac:dyDescent="0.35">
      <c r="B22" s="31" t="s">
        <v>8</v>
      </c>
      <c r="C22" s="23">
        <v>1.61906116331733E-4</v>
      </c>
      <c r="D22" s="23">
        <v>1.8149529779421199E-2</v>
      </c>
      <c r="E22" s="23">
        <v>0.15369120419497301</v>
      </c>
      <c r="F22" s="23">
        <v>9.6779016383877897E-3</v>
      </c>
      <c r="G22" s="23">
        <v>7.8632768485193294E-2</v>
      </c>
      <c r="H22" s="23">
        <v>0.24532641950458201</v>
      </c>
      <c r="I22" s="23">
        <v>0.22689209540791999</v>
      </c>
      <c r="J22" s="32">
        <v>0.26746817487319202</v>
      </c>
    </row>
    <row r="23" spans="2:10" ht="15" thickBot="1" x14ac:dyDescent="0.35">
      <c r="B23" s="34" t="s">
        <v>9</v>
      </c>
      <c r="C23" s="35">
        <v>1.0557735624671799E-3</v>
      </c>
      <c r="D23" s="35">
        <v>8.2939645442685409E-3</v>
      </c>
      <c r="E23" s="35">
        <v>3.9448746758600897E-2</v>
      </c>
      <c r="F23" s="35">
        <v>3.2533927930838199E-3</v>
      </c>
      <c r="G23" s="35">
        <v>3.5578822045547999E-2</v>
      </c>
      <c r="H23" s="35">
        <v>0.10506731469472499</v>
      </c>
      <c r="I23" s="35">
        <v>6.2450583240192301E-2</v>
      </c>
      <c r="J23" s="36">
        <v>0.74485140236111502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4.0422165016056897E-3</v>
      </c>
      <c r="D28">
        <v>3.0644441522748001E-4</v>
      </c>
      <c r="E28">
        <v>7.87065298341054E-4</v>
      </c>
      <c r="F28">
        <v>1.24193572383105E-3</v>
      </c>
      <c r="G28">
        <v>9.2468822330759595E-4</v>
      </c>
      <c r="H28">
        <v>4.9559153795260096E-4</v>
      </c>
      <c r="I28">
        <v>4.4725704425770302E-5</v>
      </c>
      <c r="J28">
        <v>2.9361575143851601E-4</v>
      </c>
    </row>
    <row r="29" spans="2:10" x14ac:dyDescent="0.3">
      <c r="B29" t="s">
        <v>11</v>
      </c>
      <c r="C29">
        <v>6.9931351282271498E-4</v>
      </c>
      <c r="D29">
        <v>1.4839015519493501E-2</v>
      </c>
      <c r="E29">
        <v>2.01454258258417E-3</v>
      </c>
      <c r="F29">
        <v>2.1088833188325998E-3</v>
      </c>
      <c r="G29">
        <v>3.4408292317891099E-3</v>
      </c>
      <c r="H29">
        <v>2.57574423770066E-3</v>
      </c>
      <c r="I29">
        <v>1.3773700927247E-3</v>
      </c>
      <c r="J29">
        <v>2.4119750524165002E-3</v>
      </c>
    </row>
    <row r="30" spans="2:10" x14ac:dyDescent="0.3">
      <c r="B30" t="s">
        <v>12</v>
      </c>
      <c r="C30">
        <v>5.9961779894913405E-4</v>
      </c>
      <c r="D30">
        <v>2.96083697648371E-3</v>
      </c>
      <c r="E30">
        <v>0.28757717599574001</v>
      </c>
      <c r="F30">
        <v>8.8636520952060103E-4</v>
      </c>
      <c r="G30">
        <v>3.6442718165222601E-3</v>
      </c>
      <c r="H30">
        <v>1.7617271041470699E-2</v>
      </c>
      <c r="I30">
        <v>5.52661629929929E-3</v>
      </c>
      <c r="J30">
        <v>9.88149364667993E-3</v>
      </c>
    </row>
    <row r="31" spans="2:10" x14ac:dyDescent="0.3">
      <c r="B31" t="s">
        <v>5</v>
      </c>
      <c r="C31">
        <v>1.17450957077689E-3</v>
      </c>
      <c r="D31">
        <v>1.82125117282741E-3</v>
      </c>
      <c r="E31">
        <v>1.1434507005509799E-3</v>
      </c>
      <c r="F31">
        <v>8.04608670691297E-3</v>
      </c>
      <c r="G31">
        <v>4.6571309105536401E-3</v>
      </c>
      <c r="H31">
        <v>2.2976579213751002E-3</v>
      </c>
      <c r="I31">
        <v>2.0055555331784799E-4</v>
      </c>
      <c r="J31">
        <v>8.34654751670712E-4</v>
      </c>
    </row>
    <row r="32" spans="2:10" x14ac:dyDescent="0.3">
      <c r="B32" t="s">
        <v>13</v>
      </c>
      <c r="C32">
        <v>6.4506526122872995E-4</v>
      </c>
      <c r="D32">
        <v>2.4311598418214099E-3</v>
      </c>
      <c r="E32">
        <v>4.0893868697298996E-3</v>
      </c>
      <c r="F32">
        <v>5.2909507187695404E-3</v>
      </c>
      <c r="G32">
        <v>5.0434785767018903E-2</v>
      </c>
      <c r="H32">
        <v>1.3928552910659701E-2</v>
      </c>
      <c r="I32">
        <v>4.2232613103588296E-3</v>
      </c>
      <c r="J32">
        <v>1.24636172925079E-2</v>
      </c>
    </row>
    <row r="33" spans="2:10" x14ac:dyDescent="0.3">
      <c r="B33" t="s">
        <v>14</v>
      </c>
      <c r="C33">
        <v>5.02017511102789E-4</v>
      </c>
      <c r="D33">
        <v>2.5654068026329602E-3</v>
      </c>
      <c r="E33">
        <v>2.6812396251674E-2</v>
      </c>
      <c r="F33">
        <v>1.89999262642864E-3</v>
      </c>
      <c r="G33">
        <v>1.5046229871075701E-2</v>
      </c>
      <c r="H33">
        <v>9.0413768178315507E-2</v>
      </c>
      <c r="I33">
        <v>1.0103026742781501E-2</v>
      </c>
      <c r="J33">
        <v>2.8320567493521E-2</v>
      </c>
    </row>
    <row r="34" spans="2:10" x14ac:dyDescent="0.3">
      <c r="B34" t="s">
        <v>8</v>
      </c>
      <c r="C34">
        <v>1.0337435067695E-5</v>
      </c>
      <c r="D34">
        <v>1.1588171580840399E-3</v>
      </c>
      <c r="E34">
        <v>9.8129266505664996E-3</v>
      </c>
      <c r="F34">
        <v>6.1791785292032405E-4</v>
      </c>
      <c r="G34">
        <v>5.02057091372193E-3</v>
      </c>
      <c r="H34">
        <v>1.5663682073767698E-2</v>
      </c>
      <c r="I34">
        <v>1.4486681274269501E-2</v>
      </c>
      <c r="J34">
        <v>1.70773961668092E-2</v>
      </c>
    </row>
    <row r="35" spans="2:10" x14ac:dyDescent="0.3">
      <c r="B35" t="s">
        <v>9</v>
      </c>
      <c r="C35">
        <v>2.9615354518261201E-4</v>
      </c>
      <c r="D35">
        <v>2.32652823552812E-3</v>
      </c>
      <c r="E35">
        <v>1.10657120247163E-2</v>
      </c>
      <c r="F35">
        <v>9.12604599883871E-4</v>
      </c>
      <c r="G35">
        <v>9.9801649300512996E-3</v>
      </c>
      <c r="H35">
        <v>2.9472283485623901E-2</v>
      </c>
      <c r="I35">
        <v>1.7517924565268399E-2</v>
      </c>
      <c r="J35">
        <v>0.208937210861767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-1.67052019393495E-4</v>
      </c>
    </row>
    <row r="41" spans="2:10" x14ac:dyDescent="0.3">
      <c r="B41" t="s">
        <v>11</v>
      </c>
      <c r="C41">
        <v>-1.05821342626532E-3</v>
      </c>
    </row>
    <row r="42" spans="2:10" x14ac:dyDescent="0.3">
      <c r="B42" t="s">
        <v>12</v>
      </c>
      <c r="C42">
        <v>1.46090075892373E-2</v>
      </c>
    </row>
    <row r="43" spans="2:10" x14ac:dyDescent="0.3">
      <c r="B43" t="s">
        <v>5</v>
      </c>
      <c r="C43">
        <v>8.2943946911403696E-4</v>
      </c>
    </row>
    <row r="44" spans="2:10" x14ac:dyDescent="0.3">
      <c r="B44" t="s">
        <v>13</v>
      </c>
      <c r="C44">
        <v>-3.5810830805453598E-4</v>
      </c>
    </row>
    <row r="45" spans="2:10" x14ac:dyDescent="0.3">
      <c r="B45" t="s">
        <v>14</v>
      </c>
      <c r="C45">
        <v>-3.1988540906662498E-3</v>
      </c>
    </row>
    <row r="46" spans="2:10" x14ac:dyDescent="0.3">
      <c r="B46" t="s">
        <v>8</v>
      </c>
      <c r="C46">
        <v>-1.0368167982761099E-2</v>
      </c>
    </row>
    <row r="47" spans="2:10" x14ac:dyDescent="0.3">
      <c r="B47" t="s">
        <v>9</v>
      </c>
      <c r="C47">
        <v>-2.8805123121061798E-4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7"/>
  <sheetViews>
    <sheetView topLeftCell="A13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147513</v>
      </c>
      <c r="D4" s="4">
        <v>13966</v>
      </c>
      <c r="E4" s="4">
        <v>52372</v>
      </c>
      <c r="F4" s="4">
        <v>44140</v>
      </c>
      <c r="G4" s="4">
        <v>15948</v>
      </c>
      <c r="H4" s="5">
        <v>24498</v>
      </c>
      <c r="I4" s="4">
        <v>1814</v>
      </c>
      <c r="J4" s="4">
        <v>12886</v>
      </c>
      <c r="K4" s="15">
        <f>SUM(C4:J4)</f>
        <v>313137</v>
      </c>
      <c r="L4" s="18">
        <f>K4/$K$12</f>
        <v>7.2082251623057456E-3</v>
      </c>
    </row>
    <row r="5" spans="1:12" ht="29.4" thickBot="1" x14ac:dyDescent="0.35">
      <c r="A5" s="49"/>
      <c r="B5" s="13" t="s">
        <v>11</v>
      </c>
      <c r="C5" s="4">
        <v>26128</v>
      </c>
      <c r="D5" s="4">
        <v>622724</v>
      </c>
      <c r="E5" s="4">
        <v>112370</v>
      </c>
      <c r="F5" s="4">
        <v>78679</v>
      </c>
      <c r="G5" s="4">
        <v>122006</v>
      </c>
      <c r="H5" s="5">
        <v>143710</v>
      </c>
      <c r="I5" s="4">
        <v>37896</v>
      </c>
      <c r="J5" s="4">
        <v>101675</v>
      </c>
      <c r="K5" s="15">
        <f t="shared" ref="K5:K11" si="0">SUM(C5:J5)</f>
        <v>1245188</v>
      </c>
      <c r="L5" s="18">
        <f t="shared" ref="L5:L12" si="1">K5/$K$12</f>
        <v>2.8663477881569942E-2</v>
      </c>
    </row>
    <row r="6" spans="1:12" ht="29.4" thickBot="1" x14ac:dyDescent="0.35">
      <c r="A6" s="49"/>
      <c r="B6" s="13" t="s">
        <v>12</v>
      </c>
      <c r="C6" s="4">
        <v>55752</v>
      </c>
      <c r="D6" s="4">
        <v>90724</v>
      </c>
      <c r="E6" s="4">
        <v>12492523</v>
      </c>
      <c r="F6" s="4">
        <v>40816</v>
      </c>
      <c r="G6" s="4">
        <v>172087</v>
      </c>
      <c r="H6" s="5">
        <v>813426</v>
      </c>
      <c r="I6" s="4">
        <v>266310</v>
      </c>
      <c r="J6" s="4">
        <v>421224</v>
      </c>
      <c r="K6" s="15">
        <f t="shared" si="0"/>
        <v>14352862</v>
      </c>
      <c r="L6" s="18">
        <f t="shared" si="1"/>
        <v>0.3303942396443153</v>
      </c>
    </row>
    <row r="7" spans="1:12" ht="29.4" thickBot="1" x14ac:dyDescent="0.35">
      <c r="A7" s="49"/>
      <c r="B7" s="13" t="s">
        <v>5</v>
      </c>
      <c r="C7" s="4">
        <v>54188</v>
      </c>
      <c r="D7" s="4">
        <v>108804</v>
      </c>
      <c r="E7" s="4">
        <v>72422</v>
      </c>
      <c r="F7" s="4">
        <v>324168</v>
      </c>
      <c r="G7" s="4">
        <v>255689</v>
      </c>
      <c r="H7" s="5">
        <v>62736</v>
      </c>
      <c r="I7" s="4">
        <v>15272</v>
      </c>
      <c r="J7" s="4">
        <v>36494</v>
      </c>
      <c r="K7" s="15">
        <f t="shared" si="0"/>
        <v>929773</v>
      </c>
      <c r="L7" s="18">
        <f t="shared" si="1"/>
        <v>2.1402814531123755E-2</v>
      </c>
    </row>
    <row r="8" spans="1:12" ht="43.8" thickBot="1" x14ac:dyDescent="0.35">
      <c r="A8" s="49"/>
      <c r="B8" s="13" t="s">
        <v>13</v>
      </c>
      <c r="C8" s="4">
        <v>11652</v>
      </c>
      <c r="D8" s="4">
        <v>116628</v>
      </c>
      <c r="E8" s="4">
        <v>219076</v>
      </c>
      <c r="F8" s="4">
        <v>248096</v>
      </c>
      <c r="G8" s="4">
        <v>2132007</v>
      </c>
      <c r="H8" s="5">
        <v>585618</v>
      </c>
      <c r="I8" s="4">
        <v>170029</v>
      </c>
      <c r="J8" s="4">
        <v>494180</v>
      </c>
      <c r="K8" s="15">
        <f t="shared" si="0"/>
        <v>3977286</v>
      </c>
      <c r="L8" s="18">
        <f t="shared" si="1"/>
        <v>9.1554728514632158E-2</v>
      </c>
    </row>
    <row r="9" spans="1:12" ht="29.4" thickBot="1" x14ac:dyDescent="0.35">
      <c r="A9" s="49"/>
      <c r="B9" s="8" t="s">
        <v>14</v>
      </c>
      <c r="C9" s="6">
        <v>38346</v>
      </c>
      <c r="D9" s="6">
        <v>97727</v>
      </c>
      <c r="E9" s="6">
        <v>1219695</v>
      </c>
      <c r="F9" s="6">
        <v>87403</v>
      </c>
      <c r="G9" s="6">
        <v>633170</v>
      </c>
      <c r="H9" s="7">
        <v>3981254</v>
      </c>
      <c r="I9" s="4">
        <v>477333</v>
      </c>
      <c r="J9" s="4">
        <v>1129545</v>
      </c>
      <c r="K9" s="15">
        <f t="shared" si="0"/>
        <v>7664473</v>
      </c>
      <c r="L9" s="18">
        <f t="shared" si="1"/>
        <v>0.17643155275298991</v>
      </c>
    </row>
    <row r="10" spans="1:12" ht="29.4" thickBot="1" x14ac:dyDescent="0.35">
      <c r="A10" s="49"/>
      <c r="B10" s="13" t="s">
        <v>8</v>
      </c>
      <c r="C10" s="4">
        <v>512</v>
      </c>
      <c r="D10" s="4">
        <v>49824</v>
      </c>
      <c r="E10" s="4">
        <v>353734</v>
      </c>
      <c r="F10" s="4">
        <v>8402</v>
      </c>
      <c r="G10" s="4">
        <v>192567</v>
      </c>
      <c r="H10" s="4">
        <v>575339</v>
      </c>
      <c r="I10" s="4">
        <v>515877</v>
      </c>
      <c r="J10" s="4">
        <v>717362</v>
      </c>
      <c r="K10" s="15">
        <f t="shared" si="0"/>
        <v>2413617</v>
      </c>
      <c r="L10" s="18">
        <f t="shared" si="1"/>
        <v>5.5560009809025784E-2</v>
      </c>
    </row>
    <row r="11" spans="1:12" ht="15" thickBot="1" x14ac:dyDescent="0.35">
      <c r="A11" s="49"/>
      <c r="B11" s="13" t="s">
        <v>9</v>
      </c>
      <c r="C11" s="4">
        <v>5937</v>
      </c>
      <c r="D11" s="4">
        <v>118849</v>
      </c>
      <c r="E11" s="4">
        <v>511808</v>
      </c>
      <c r="F11" s="4">
        <v>36848</v>
      </c>
      <c r="G11" s="4">
        <v>483608</v>
      </c>
      <c r="H11" s="4">
        <v>1366394</v>
      </c>
      <c r="I11" s="4">
        <v>708590</v>
      </c>
      <c r="J11" s="4">
        <v>9313253</v>
      </c>
      <c r="K11" s="15">
        <f t="shared" si="0"/>
        <v>12545287</v>
      </c>
      <c r="L11" s="18">
        <f t="shared" si="1"/>
        <v>0.2887849517040374</v>
      </c>
    </row>
    <row r="12" spans="1:12" ht="15" thickBot="1" x14ac:dyDescent="0.35">
      <c r="A12" s="50"/>
      <c r="B12" s="20" t="s">
        <v>18</v>
      </c>
      <c r="C12" s="21">
        <f>SUM(C4:C11)</f>
        <v>340028</v>
      </c>
      <c r="D12" s="21">
        <f t="shared" ref="D12:J12" si="2">SUM(D4:D11)</f>
        <v>1219246</v>
      </c>
      <c r="E12" s="21">
        <f t="shared" si="2"/>
        <v>15034000</v>
      </c>
      <c r="F12" s="21">
        <f t="shared" si="2"/>
        <v>868552</v>
      </c>
      <c r="G12" s="21">
        <f t="shared" si="2"/>
        <v>4007082</v>
      </c>
      <c r="H12" s="21">
        <f t="shared" si="2"/>
        <v>7552975</v>
      </c>
      <c r="I12" s="21">
        <f t="shared" si="2"/>
        <v>2193121</v>
      </c>
      <c r="J12" s="21">
        <f t="shared" si="2"/>
        <v>12226619</v>
      </c>
      <c r="K12" s="22">
        <f>SUM(K4:K11)</f>
        <v>43441623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7.8272397879793759E-3</v>
      </c>
      <c r="D13" s="18">
        <f t="shared" ref="D13:K13" si="3">D12/$K$12</f>
        <v>2.8066308664388528E-2</v>
      </c>
      <c r="E13" s="18">
        <f t="shared" si="3"/>
        <v>0.34607362620867088</v>
      </c>
      <c r="F13" s="18">
        <f t="shared" si="3"/>
        <v>1.9993543979698918E-2</v>
      </c>
      <c r="G13" s="18">
        <f t="shared" si="3"/>
        <v>9.224061449085362E-2</v>
      </c>
      <c r="H13" s="18">
        <f t="shared" si="3"/>
        <v>0.17386493593943303</v>
      </c>
      <c r="I13" s="18">
        <f t="shared" si="3"/>
        <v>5.0484324676359355E-2</v>
      </c>
      <c r="J13" s="18">
        <f t="shared" si="3"/>
        <v>0.28144940625261627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0.471081347780684</v>
      </c>
      <c r="D16" s="23">
        <v>4.4600286775436898E-2</v>
      </c>
      <c r="E16" s="23">
        <v>0.16724947866269399</v>
      </c>
      <c r="F16" s="23">
        <v>0.140960665778876</v>
      </c>
      <c r="G16" s="23">
        <v>5.09297847268129E-2</v>
      </c>
      <c r="H16" s="24">
        <v>7.8234127554393101E-2</v>
      </c>
      <c r="I16" s="23">
        <v>5.79299156599188E-3</v>
      </c>
      <c r="J16" s="32">
        <v>4.1151317155111E-2</v>
      </c>
    </row>
    <row r="17" spans="2:10" ht="29.4" thickBot="1" x14ac:dyDescent="0.35">
      <c r="B17" s="31" t="s">
        <v>11</v>
      </c>
      <c r="C17" s="23">
        <v>2.09831768375538E-2</v>
      </c>
      <c r="D17" s="23">
        <v>0.50010440190557603</v>
      </c>
      <c r="E17" s="23">
        <v>9.0243400996476E-2</v>
      </c>
      <c r="F17" s="23">
        <v>6.3186442529160294E-2</v>
      </c>
      <c r="G17" s="23">
        <v>9.7981991474379804E-2</v>
      </c>
      <c r="H17" s="24">
        <v>0.11541229115603401</v>
      </c>
      <c r="I17" s="23">
        <v>3.0433958566899101E-2</v>
      </c>
      <c r="J17" s="32">
        <v>8.1654336533920999E-2</v>
      </c>
    </row>
    <row r="18" spans="2:10" ht="29.4" thickBot="1" x14ac:dyDescent="0.35">
      <c r="B18" s="31" t="s">
        <v>12</v>
      </c>
      <c r="C18" s="23">
        <v>3.8843820835175601E-3</v>
      </c>
      <c r="D18" s="23">
        <v>6.3209692951830803E-3</v>
      </c>
      <c r="E18" s="23">
        <v>0.87038550220854904</v>
      </c>
      <c r="F18" s="23">
        <v>2.8437533921806001E-3</v>
      </c>
      <c r="G18" s="23">
        <v>1.19897341728779E-2</v>
      </c>
      <c r="H18" s="24">
        <v>5.6673435583788102E-2</v>
      </c>
      <c r="I18" s="23">
        <v>1.85544875997554E-2</v>
      </c>
      <c r="J18" s="32">
        <v>2.9347735664148399E-2</v>
      </c>
    </row>
    <row r="19" spans="2:10" ht="29.4" thickBot="1" x14ac:dyDescent="0.35">
      <c r="B19" s="31" t="s">
        <v>5</v>
      </c>
      <c r="C19" s="23">
        <v>5.8280892217777901E-2</v>
      </c>
      <c r="D19" s="23">
        <v>0.117022111848806</v>
      </c>
      <c r="E19" s="23">
        <v>7.7892130659849207E-2</v>
      </c>
      <c r="F19" s="23">
        <v>0.34865284322087198</v>
      </c>
      <c r="G19" s="23">
        <v>0.27500153263215898</v>
      </c>
      <c r="H19" s="24">
        <v>6.74745341067121E-2</v>
      </c>
      <c r="I19" s="23">
        <v>1.6425514614857601E-2</v>
      </c>
      <c r="J19" s="32">
        <v>3.9250440698966299E-2</v>
      </c>
    </row>
    <row r="20" spans="2:10" ht="43.8" thickBot="1" x14ac:dyDescent="0.35">
      <c r="B20" s="31" t="s">
        <v>13</v>
      </c>
      <c r="C20" s="23">
        <v>2.9296359376720701E-3</v>
      </c>
      <c r="D20" s="23">
        <v>2.9323513571817599E-2</v>
      </c>
      <c r="E20" s="23">
        <v>5.50817818985107E-2</v>
      </c>
      <c r="F20" s="23">
        <v>6.23782146921293E-2</v>
      </c>
      <c r="G20" s="23">
        <v>0.536045685424684</v>
      </c>
      <c r="H20" s="24">
        <v>0.14724060577992101</v>
      </c>
      <c r="I20" s="23">
        <v>4.27500059085517E-2</v>
      </c>
      <c r="J20" s="32">
        <v>0.124250556786713</v>
      </c>
    </row>
    <row r="21" spans="2:10" ht="29.4" thickBot="1" x14ac:dyDescent="0.35">
      <c r="B21" s="33" t="s">
        <v>14</v>
      </c>
      <c r="C21" s="25">
        <v>5.0030837084297898E-3</v>
      </c>
      <c r="D21" s="25">
        <v>1.27506483485557E-2</v>
      </c>
      <c r="E21" s="25">
        <v>0.159136185879969</v>
      </c>
      <c r="F21" s="25">
        <v>1.1403654236892701E-2</v>
      </c>
      <c r="G21" s="25">
        <v>8.2611028833945901E-2</v>
      </c>
      <c r="H21" s="26">
        <v>0.51944262834509303</v>
      </c>
      <c r="I21" s="23">
        <v>6.2278645902986401E-2</v>
      </c>
      <c r="J21" s="32">
        <v>0.147374124744128</v>
      </c>
    </row>
    <row r="22" spans="2:10" ht="29.4" thickBot="1" x14ac:dyDescent="0.35">
      <c r="B22" s="31" t="s">
        <v>8</v>
      </c>
      <c r="C22" s="23">
        <v>2.12129762095643E-4</v>
      </c>
      <c r="D22" s="23">
        <v>2.06428774739323E-2</v>
      </c>
      <c r="E22" s="23">
        <v>0.14655763528347701</v>
      </c>
      <c r="F22" s="23">
        <v>3.4810825412648302E-3</v>
      </c>
      <c r="G22" s="23">
        <v>7.9783577924749494E-2</v>
      </c>
      <c r="H22" s="23">
        <v>0.23837211952020601</v>
      </c>
      <c r="I22" s="23">
        <v>0.21373606500119899</v>
      </c>
      <c r="J22" s="32">
        <v>0.29721451249307601</v>
      </c>
    </row>
    <row r="23" spans="2:10" ht="15" thickBot="1" x14ac:dyDescent="0.35">
      <c r="B23" s="34" t="s">
        <v>9</v>
      </c>
      <c r="C23" s="35">
        <v>4.7324545066206898E-4</v>
      </c>
      <c r="D23" s="35">
        <v>9.4735975350743306E-3</v>
      </c>
      <c r="E23" s="35">
        <v>4.0796834699756201E-2</v>
      </c>
      <c r="F23" s="35">
        <v>2.93719864679062E-3</v>
      </c>
      <c r="G23" s="35">
        <v>3.85489785925184E-2</v>
      </c>
      <c r="H23" s="35">
        <v>0.10891691836145299</v>
      </c>
      <c r="I23" s="35">
        <v>5.6482565922963697E-2</v>
      </c>
      <c r="J23" s="36">
        <v>0.74237066079078096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3.39566042456563E-3</v>
      </c>
      <c r="D28">
        <v>3.2148890938075699E-4</v>
      </c>
      <c r="E28">
        <v>1.20557190047895E-3</v>
      </c>
      <c r="F28">
        <v>1.0160762179626699E-3</v>
      </c>
      <c r="G28">
        <v>3.6711335577862701E-4</v>
      </c>
      <c r="H28">
        <v>5.6392920678861402E-4</v>
      </c>
      <c r="I28">
        <v>4.1757187571007602E-5</v>
      </c>
      <c r="J28">
        <v>2.9662795977949502E-4</v>
      </c>
    </row>
    <row r="29" spans="2:10" x14ac:dyDescent="0.3">
      <c r="B29" t="s">
        <v>11</v>
      </c>
      <c r="C29">
        <v>6.0145082516829503E-4</v>
      </c>
      <c r="D29">
        <v>1.4334731462496199E-2</v>
      </c>
      <c r="E29">
        <v>2.5866897284201398E-3</v>
      </c>
      <c r="F29">
        <v>1.8111431978496801E-3</v>
      </c>
      <c r="G29">
        <v>2.80850464541806E-3</v>
      </c>
      <c r="H29">
        <v>3.3081176548123E-3</v>
      </c>
      <c r="I29">
        <v>8.7234309823092896E-4</v>
      </c>
      <c r="J29">
        <v>2.34049726917431E-3</v>
      </c>
    </row>
    <row r="30" spans="2:10" x14ac:dyDescent="0.3">
      <c r="B30" t="s">
        <v>12</v>
      </c>
      <c r="C30">
        <v>1.2833774649717901E-3</v>
      </c>
      <c r="D30">
        <v>2.0884118440970801E-3</v>
      </c>
      <c r="E30">
        <v>0.28757035619962901</v>
      </c>
      <c r="F30">
        <v>9.3955973974545095E-4</v>
      </c>
      <c r="G30">
        <v>3.96133910558544E-3</v>
      </c>
      <c r="H30">
        <v>1.8724576657736799E-2</v>
      </c>
      <c r="I30">
        <v>6.1302958225110497E-3</v>
      </c>
      <c r="J30">
        <v>9.6963228100386597E-3</v>
      </c>
    </row>
    <row r="31" spans="2:10" x14ac:dyDescent="0.3">
      <c r="B31" t="s">
        <v>5</v>
      </c>
      <c r="C31">
        <v>1.24737512684551E-3</v>
      </c>
      <c r="D31">
        <v>2.5046025559404199E-3</v>
      </c>
      <c r="E31">
        <v>1.6671108259468099E-3</v>
      </c>
      <c r="F31">
        <v>7.4621521392052997E-3</v>
      </c>
      <c r="G31">
        <v>5.8858067987008697E-3</v>
      </c>
      <c r="H31">
        <v>1.4441449390599399E-3</v>
      </c>
      <c r="I31">
        <v>3.5155224288006002E-4</v>
      </c>
      <c r="J31">
        <v>8.4006990254484695E-4</v>
      </c>
    </row>
    <row r="32" spans="2:10" x14ac:dyDescent="0.3">
      <c r="B32" t="s">
        <v>13</v>
      </c>
      <c r="C32">
        <v>2.6822202292027601E-4</v>
      </c>
      <c r="D32">
        <v>2.6847063241628899E-3</v>
      </c>
      <c r="E32">
        <v>5.0429975878203302E-3</v>
      </c>
      <c r="F32">
        <v>5.7110205113653301E-3</v>
      </c>
      <c r="G32">
        <v>4.9077517200496898E-2</v>
      </c>
      <c r="H32">
        <v>1.3480573688510701E-2</v>
      </c>
      <c r="I32">
        <v>3.9139651849563698E-3</v>
      </c>
      <c r="J32">
        <v>1.1375725994399399E-2</v>
      </c>
    </row>
    <row r="33" spans="2:10" x14ac:dyDescent="0.3">
      <c r="B33" t="s">
        <v>14</v>
      </c>
      <c r="C33">
        <v>8.8270182723145505E-4</v>
      </c>
      <c r="D33">
        <v>2.2496166867430299E-3</v>
      </c>
      <c r="E33">
        <v>2.8076644373991301E-2</v>
      </c>
      <c r="F33">
        <v>2.0119644240731999E-3</v>
      </c>
      <c r="G33">
        <v>1.45751920916951E-2</v>
      </c>
      <c r="H33">
        <v>9.1646069485018994E-2</v>
      </c>
      <c r="I33">
        <v>1.09879182000175E-2</v>
      </c>
      <c r="J33">
        <v>2.6001445664219299E-2</v>
      </c>
    </row>
    <row r="34" spans="2:10" x14ac:dyDescent="0.3">
      <c r="B34" t="s">
        <v>8</v>
      </c>
      <c r="C34">
        <v>1.17859316628202E-5</v>
      </c>
      <c r="D34">
        <v>1.1469184749381899E-3</v>
      </c>
      <c r="E34">
        <v>8.1427436539376098E-3</v>
      </c>
      <c r="F34">
        <v>1.93408980138702E-4</v>
      </c>
      <c r="G34">
        <v>4.43277637209825E-3</v>
      </c>
      <c r="H34">
        <v>1.3243957298740901E-2</v>
      </c>
      <c r="I34">
        <v>1.18751778680092E-2</v>
      </c>
      <c r="J34">
        <v>1.6513241229500101E-2</v>
      </c>
    </row>
    <row r="35" spans="2:10" x14ac:dyDescent="0.3">
      <c r="B35" t="s">
        <v>9</v>
      </c>
      <c r="C35">
        <v>1.3666616461360101E-4</v>
      </c>
      <c r="D35">
        <v>2.7358324066299299E-3</v>
      </c>
      <c r="E35">
        <v>1.17815119384467E-2</v>
      </c>
      <c r="F35">
        <v>8.4821876935859395E-4</v>
      </c>
      <c r="G35">
        <v>1.11323649210804E-2</v>
      </c>
      <c r="H35">
        <v>3.1453567008764803E-2</v>
      </c>
      <c r="I35">
        <v>1.63113150721832E-2</v>
      </c>
      <c r="J35">
        <v>0.21438547542295999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6.1901462567362996E-4</v>
      </c>
    </row>
    <row r="41" spans="2:10" x14ac:dyDescent="0.3">
      <c r="B41" t="s">
        <v>11</v>
      </c>
      <c r="C41">
        <v>-5.9716921718141298E-4</v>
      </c>
    </row>
    <row r="42" spans="2:10" x14ac:dyDescent="0.3">
      <c r="B42" t="s">
        <v>12</v>
      </c>
      <c r="C42">
        <v>1.56793865643556E-2</v>
      </c>
    </row>
    <row r="43" spans="2:10" x14ac:dyDescent="0.3">
      <c r="B43" t="s">
        <v>5</v>
      </c>
      <c r="C43">
        <v>-1.40927055142484E-3</v>
      </c>
    </row>
    <row r="44" spans="2:10" x14ac:dyDescent="0.3">
      <c r="B44" t="s">
        <v>13</v>
      </c>
      <c r="C44">
        <v>6.8588597622146197E-4</v>
      </c>
    </row>
    <row r="45" spans="2:10" x14ac:dyDescent="0.3">
      <c r="B45" t="s">
        <v>14</v>
      </c>
      <c r="C45">
        <v>-2.5666168135568801E-3</v>
      </c>
    </row>
    <row r="46" spans="2:10" x14ac:dyDescent="0.3">
      <c r="B46" t="s">
        <v>8</v>
      </c>
      <c r="C46">
        <v>-5.0756851326664298E-3</v>
      </c>
    </row>
    <row r="47" spans="2:10" x14ac:dyDescent="0.3">
      <c r="B47" t="s">
        <v>9</v>
      </c>
      <c r="C47">
        <v>-7.3355454514211198E-3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7"/>
  <sheetViews>
    <sheetView topLeftCell="A13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142013</v>
      </c>
      <c r="D4" s="4">
        <v>31486</v>
      </c>
      <c r="E4" s="4">
        <v>50986</v>
      </c>
      <c r="F4" s="4">
        <v>49824</v>
      </c>
      <c r="G4" s="4">
        <v>23798</v>
      </c>
      <c r="H4" s="5">
        <v>36388</v>
      </c>
      <c r="I4" s="4">
        <v>7764</v>
      </c>
      <c r="J4" s="4">
        <v>4598</v>
      </c>
      <c r="K4" s="15">
        <f>SUM(C4:J4)</f>
        <v>346857</v>
      </c>
      <c r="L4" s="18">
        <f>K4/$K$12</f>
        <v>7.9357496602808116E-3</v>
      </c>
    </row>
    <row r="5" spans="1:12" ht="29.4" thickBot="1" x14ac:dyDescent="0.35">
      <c r="A5" s="49"/>
      <c r="B5" s="13" t="s">
        <v>11</v>
      </c>
      <c r="C5" s="4">
        <v>32002</v>
      </c>
      <c r="D5" s="4">
        <v>604190</v>
      </c>
      <c r="E5" s="4">
        <v>102568</v>
      </c>
      <c r="F5" s="4">
        <v>66881</v>
      </c>
      <c r="G5" s="4">
        <v>119646</v>
      </c>
      <c r="H5" s="5">
        <v>106774</v>
      </c>
      <c r="I5" s="4">
        <v>32418</v>
      </c>
      <c r="J5" s="4">
        <v>99843</v>
      </c>
      <c r="K5" s="15">
        <f t="shared" ref="K5:K11" si="0">SUM(C5:J5)</f>
        <v>1164322</v>
      </c>
      <c r="L5" s="18">
        <f t="shared" ref="L5:L12" si="1">K5/$K$12</f>
        <v>2.6638551091537649E-2</v>
      </c>
    </row>
    <row r="6" spans="1:12" ht="29.4" thickBot="1" x14ac:dyDescent="0.35">
      <c r="A6" s="49"/>
      <c r="B6" s="13" t="s">
        <v>12</v>
      </c>
      <c r="C6" s="4">
        <v>16152</v>
      </c>
      <c r="D6" s="4">
        <v>121198</v>
      </c>
      <c r="E6" s="4">
        <v>12951445</v>
      </c>
      <c r="F6" s="4">
        <v>54133</v>
      </c>
      <c r="G6" s="4">
        <v>231055</v>
      </c>
      <c r="H6" s="5">
        <v>827514</v>
      </c>
      <c r="I6" s="4">
        <v>287812</v>
      </c>
      <c r="J6" s="4">
        <v>491050</v>
      </c>
      <c r="K6" s="15">
        <f t="shared" si="0"/>
        <v>14980359</v>
      </c>
      <c r="L6" s="18">
        <f t="shared" si="1"/>
        <v>0.34273599450244507</v>
      </c>
    </row>
    <row r="7" spans="1:12" ht="29.4" thickBot="1" x14ac:dyDescent="0.35">
      <c r="A7" s="49"/>
      <c r="B7" s="13" t="s">
        <v>5</v>
      </c>
      <c r="C7" s="4">
        <v>56909</v>
      </c>
      <c r="D7" s="4">
        <v>81993</v>
      </c>
      <c r="E7" s="4">
        <v>63224</v>
      </c>
      <c r="F7" s="4">
        <v>355849</v>
      </c>
      <c r="G7" s="4">
        <v>295427</v>
      </c>
      <c r="H7" s="5">
        <v>97187</v>
      </c>
      <c r="I7" s="4">
        <v>11616</v>
      </c>
      <c r="J7" s="4">
        <v>62267</v>
      </c>
      <c r="K7" s="15">
        <f t="shared" si="0"/>
        <v>1024472</v>
      </c>
      <c r="L7" s="18">
        <f t="shared" si="1"/>
        <v>2.3438919571948102E-2</v>
      </c>
    </row>
    <row r="8" spans="1:12" ht="43.8" thickBot="1" x14ac:dyDescent="0.35">
      <c r="A8" s="49"/>
      <c r="B8" s="13" t="s">
        <v>13</v>
      </c>
      <c r="C8" s="4">
        <v>17958</v>
      </c>
      <c r="D8" s="4">
        <v>89679</v>
      </c>
      <c r="E8" s="4">
        <v>185727</v>
      </c>
      <c r="F8" s="4">
        <v>204043</v>
      </c>
      <c r="G8" s="4">
        <v>2193224</v>
      </c>
      <c r="H8" s="5">
        <v>632772</v>
      </c>
      <c r="I8" s="4">
        <v>187726</v>
      </c>
      <c r="J8" s="4">
        <v>475775</v>
      </c>
      <c r="K8" s="15">
        <f t="shared" si="0"/>
        <v>3986904</v>
      </c>
      <c r="L8" s="18">
        <f t="shared" si="1"/>
        <v>9.121647267770927E-2</v>
      </c>
    </row>
    <row r="9" spans="1:12" ht="29.4" thickBot="1" x14ac:dyDescent="0.35">
      <c r="A9" s="49"/>
      <c r="B9" s="8" t="s">
        <v>14</v>
      </c>
      <c r="C9" s="6">
        <v>27250</v>
      </c>
      <c r="D9" s="6">
        <v>124833</v>
      </c>
      <c r="E9" s="6">
        <v>1106070</v>
      </c>
      <c r="F9" s="6">
        <v>61704</v>
      </c>
      <c r="G9" s="6">
        <v>665443</v>
      </c>
      <c r="H9" s="7">
        <v>4099658</v>
      </c>
      <c r="I9" s="4">
        <v>461790</v>
      </c>
      <c r="J9" s="4">
        <v>1142962</v>
      </c>
      <c r="K9" s="15">
        <f t="shared" si="0"/>
        <v>7689710</v>
      </c>
      <c r="L9" s="18">
        <f t="shared" si="1"/>
        <v>0.17593306036827266</v>
      </c>
    </row>
    <row r="10" spans="1:12" ht="29.4" thickBot="1" x14ac:dyDescent="0.35">
      <c r="A10" s="49"/>
      <c r="B10" s="13" t="s">
        <v>8</v>
      </c>
      <c r="C10" s="4">
        <v>564</v>
      </c>
      <c r="D10" s="4">
        <v>42696</v>
      </c>
      <c r="E10" s="4">
        <v>289215</v>
      </c>
      <c r="F10" s="4">
        <v>11242</v>
      </c>
      <c r="G10" s="4">
        <v>218854</v>
      </c>
      <c r="H10" s="4">
        <v>558836</v>
      </c>
      <c r="I10" s="4">
        <v>496872</v>
      </c>
      <c r="J10" s="4">
        <v>634976</v>
      </c>
      <c r="K10" s="15">
        <f t="shared" si="0"/>
        <v>2253255</v>
      </c>
      <c r="L10" s="18">
        <f t="shared" si="1"/>
        <v>5.1552275435629201E-2</v>
      </c>
    </row>
    <row r="11" spans="1:12" ht="15" thickBot="1" x14ac:dyDescent="0.35">
      <c r="A11" s="49"/>
      <c r="B11" s="13" t="s">
        <v>9</v>
      </c>
      <c r="C11" s="4">
        <v>12984</v>
      </c>
      <c r="D11" s="4">
        <v>96595</v>
      </c>
      <c r="E11" s="4">
        <v>438885</v>
      </c>
      <c r="F11" s="4">
        <v>38280</v>
      </c>
      <c r="G11" s="4">
        <v>524311</v>
      </c>
      <c r="H11" s="4">
        <v>1372040</v>
      </c>
      <c r="I11" s="4">
        <v>739284</v>
      </c>
      <c r="J11" s="4">
        <v>9039900</v>
      </c>
      <c r="K11" s="15">
        <f t="shared" si="0"/>
        <v>12262279</v>
      </c>
      <c r="L11" s="18">
        <f t="shared" si="1"/>
        <v>0.28054897669217721</v>
      </c>
    </row>
    <row r="12" spans="1:12" ht="15" thickBot="1" x14ac:dyDescent="0.35">
      <c r="A12" s="50"/>
      <c r="B12" s="20" t="s">
        <v>18</v>
      </c>
      <c r="C12" s="21">
        <f>SUM(C4:C11)</f>
        <v>305832</v>
      </c>
      <c r="D12" s="21">
        <f t="shared" ref="D12:J12" si="2">SUM(D4:D11)</f>
        <v>1192670</v>
      </c>
      <c r="E12" s="21">
        <f t="shared" si="2"/>
        <v>15188120</v>
      </c>
      <c r="F12" s="21">
        <f t="shared" si="2"/>
        <v>841956</v>
      </c>
      <c r="G12" s="21">
        <f t="shared" si="2"/>
        <v>4271758</v>
      </c>
      <c r="H12" s="21">
        <f t="shared" si="2"/>
        <v>7731169</v>
      </c>
      <c r="I12" s="21">
        <f t="shared" si="2"/>
        <v>2225282</v>
      </c>
      <c r="J12" s="21">
        <f t="shared" si="2"/>
        <v>11951371</v>
      </c>
      <c r="K12" s="22">
        <f>SUM(K4:K11)</f>
        <v>43708158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6.9971376968116566E-3</v>
      </c>
      <c r="D13" s="18">
        <f t="shared" ref="D13:K13" si="3">D12/$K$12</f>
        <v>2.7287125666563206E-2</v>
      </c>
      <c r="E13" s="18">
        <f t="shared" si="3"/>
        <v>0.34748936342730341</v>
      </c>
      <c r="F13" s="18">
        <f t="shared" si="3"/>
        <v>1.9263131610350634E-2</v>
      </c>
      <c r="G13" s="18">
        <f t="shared" si="3"/>
        <v>9.7733654207070447E-2</v>
      </c>
      <c r="H13" s="18">
        <f t="shared" si="3"/>
        <v>0.17688160182819876</v>
      </c>
      <c r="I13" s="18">
        <f t="shared" si="3"/>
        <v>5.0912280494639008E-2</v>
      </c>
      <c r="J13" s="18">
        <f t="shared" si="3"/>
        <v>0.27343570506906284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0.409428092845178</v>
      </c>
      <c r="D16" s="23">
        <v>9.0775160945288702E-2</v>
      </c>
      <c r="E16" s="23">
        <v>0.14699429447870399</v>
      </c>
      <c r="F16" s="23">
        <v>0.14364421072661099</v>
      </c>
      <c r="G16" s="23">
        <v>6.86104071706784E-2</v>
      </c>
      <c r="H16" s="24">
        <v>0.104907786205843</v>
      </c>
      <c r="I16" s="23">
        <v>2.2383864243766202E-2</v>
      </c>
      <c r="J16" s="32">
        <v>1.32561833839306E-2</v>
      </c>
    </row>
    <row r="17" spans="2:10" ht="29.4" thickBot="1" x14ac:dyDescent="0.35">
      <c r="B17" s="31" t="s">
        <v>11</v>
      </c>
      <c r="C17" s="23">
        <v>2.74855237640447E-2</v>
      </c>
      <c r="D17" s="23">
        <v>0.51892002384220204</v>
      </c>
      <c r="E17" s="23">
        <v>8.8092469265375006E-2</v>
      </c>
      <c r="F17" s="23">
        <v>5.7442013463629503E-2</v>
      </c>
      <c r="G17" s="23">
        <v>0.102760232993966</v>
      </c>
      <c r="H17" s="24">
        <v>9.1704872019939501E-2</v>
      </c>
      <c r="I17" s="23">
        <v>2.7842813242384801E-2</v>
      </c>
      <c r="J17" s="32">
        <v>8.5752051408459207E-2</v>
      </c>
    </row>
    <row r="18" spans="2:10" ht="29.4" thickBot="1" x14ac:dyDescent="0.35">
      <c r="B18" s="31" t="s">
        <v>12</v>
      </c>
      <c r="C18" s="23">
        <v>1.07821181054473E-3</v>
      </c>
      <c r="D18" s="23">
        <v>8.0904603154036605E-3</v>
      </c>
      <c r="E18" s="23">
        <v>0.86456172378779395</v>
      </c>
      <c r="F18" s="23">
        <v>3.61359831229679E-3</v>
      </c>
      <c r="G18" s="23">
        <v>1.542386267245E-2</v>
      </c>
      <c r="H18" s="24">
        <v>5.5239931165868603E-2</v>
      </c>
      <c r="I18" s="23">
        <v>1.9212623676108199E-2</v>
      </c>
      <c r="J18" s="32">
        <v>3.2779588259533698E-2</v>
      </c>
    </row>
    <row r="19" spans="2:10" ht="29.4" thickBot="1" x14ac:dyDescent="0.35">
      <c r="B19" s="31" t="s">
        <v>5</v>
      </c>
      <c r="C19" s="23">
        <v>5.5549590423164298E-2</v>
      </c>
      <c r="D19" s="23">
        <v>8.0034398207076404E-2</v>
      </c>
      <c r="E19" s="23">
        <v>6.1713741322359197E-2</v>
      </c>
      <c r="F19" s="23">
        <v>0.34734868302891603</v>
      </c>
      <c r="G19" s="23">
        <v>0.28837000913641397</v>
      </c>
      <c r="H19" s="24">
        <v>9.4865452642922399E-2</v>
      </c>
      <c r="I19" s="23">
        <v>1.1338523649255401E-2</v>
      </c>
      <c r="J19" s="32">
        <v>6.07796015898922E-2</v>
      </c>
    </row>
    <row r="20" spans="2:10" ht="43.8" thickBot="1" x14ac:dyDescent="0.35">
      <c r="B20" s="31" t="s">
        <v>13</v>
      </c>
      <c r="C20" s="23">
        <v>4.5042469043648902E-3</v>
      </c>
      <c r="D20" s="23">
        <v>2.2493393369892999E-2</v>
      </c>
      <c r="E20" s="23">
        <v>4.65842668897972E-2</v>
      </c>
      <c r="F20" s="23">
        <v>5.1178307779670598E-2</v>
      </c>
      <c r="G20" s="23">
        <v>0.55010705048328201</v>
      </c>
      <c r="H20" s="24">
        <v>0.158712625134691</v>
      </c>
      <c r="I20" s="23">
        <v>4.7085658445751397E-2</v>
      </c>
      <c r="J20" s="32">
        <v>0.11933445099255</v>
      </c>
    </row>
    <row r="21" spans="2:10" ht="29.4" thickBot="1" x14ac:dyDescent="0.35">
      <c r="B21" s="33" t="s">
        <v>14</v>
      </c>
      <c r="C21" s="25">
        <v>3.54369670637774E-3</v>
      </c>
      <c r="D21" s="25">
        <v>1.62337721448533E-2</v>
      </c>
      <c r="E21" s="25">
        <v>0.14383767398250399</v>
      </c>
      <c r="F21" s="25">
        <v>8.0242297823975208E-3</v>
      </c>
      <c r="G21" s="25">
        <v>8.6536813481912805E-2</v>
      </c>
      <c r="H21" s="26">
        <v>0.533135579885327</v>
      </c>
      <c r="I21" s="23">
        <v>6.0052979891309297E-2</v>
      </c>
      <c r="J21" s="32">
        <v>0.148635254125318</v>
      </c>
    </row>
    <row r="22" spans="2:10" ht="29.4" thickBot="1" x14ac:dyDescent="0.35">
      <c r="B22" s="31" t="s">
        <v>8</v>
      </c>
      <c r="C22" s="23">
        <v>2.5030455940406199E-4</v>
      </c>
      <c r="D22" s="23">
        <v>1.8948587709779901E-2</v>
      </c>
      <c r="E22" s="23">
        <v>0.12835431409227999</v>
      </c>
      <c r="F22" s="23">
        <v>4.9892266964901904E-3</v>
      </c>
      <c r="G22" s="23">
        <v>9.7127932701802505E-2</v>
      </c>
      <c r="H22" s="23">
        <v>0.24801276375732001</v>
      </c>
      <c r="I22" s="23">
        <v>0.220512991206055</v>
      </c>
      <c r="J22" s="32">
        <v>0.28180387927686801</v>
      </c>
    </row>
    <row r="23" spans="2:10" ht="15" thickBot="1" x14ac:dyDescent="0.35">
      <c r="B23" s="34" t="s">
        <v>9</v>
      </c>
      <c r="C23" s="35">
        <v>1.0588570036613901E-3</v>
      </c>
      <c r="D23" s="35">
        <v>7.8774100638225597E-3</v>
      </c>
      <c r="E23" s="35">
        <v>3.5791470737209598E-2</v>
      </c>
      <c r="F23" s="35">
        <v>3.1217688000737898E-3</v>
      </c>
      <c r="G23" s="35">
        <v>4.2758038697374302E-2</v>
      </c>
      <c r="H23" s="35">
        <v>0.111891109311736</v>
      </c>
      <c r="I23" s="35">
        <v>6.0289282277788701E-2</v>
      </c>
      <c r="J23" s="36">
        <v>0.73721206310833398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3.2491188487055399E-3</v>
      </c>
      <c r="D28">
        <v>7.2036895263351101E-4</v>
      </c>
      <c r="E28">
        <v>1.1665099224726001E-3</v>
      </c>
      <c r="F28">
        <v>1.13992449647501E-3</v>
      </c>
      <c r="G28">
        <v>5.44475015396439E-4</v>
      </c>
      <c r="H28">
        <v>8.3252192874382904E-4</v>
      </c>
      <c r="I28">
        <v>1.7763274306823899E-4</v>
      </c>
      <c r="J28">
        <v>1.05197752785647E-4</v>
      </c>
    </row>
    <row r="29" spans="2:10" x14ac:dyDescent="0.3">
      <c r="B29" t="s">
        <v>11</v>
      </c>
      <c r="C29">
        <v>7.32174529066176E-4</v>
      </c>
      <c r="D29">
        <v>1.38232775675424E-2</v>
      </c>
      <c r="E29">
        <v>2.3466557433053999E-3</v>
      </c>
      <c r="F29">
        <v>1.5301720104516901E-3</v>
      </c>
      <c r="G29">
        <v>2.7373837167880698E-3</v>
      </c>
      <c r="H29">
        <v>2.44288491864608E-3</v>
      </c>
      <c r="I29">
        <v>7.4169220308941005E-4</v>
      </c>
      <c r="J29">
        <v>2.2843104026484002E-3</v>
      </c>
    </row>
    <row r="30" spans="2:10" x14ac:dyDescent="0.3">
      <c r="B30" t="s">
        <v>12</v>
      </c>
      <c r="C30">
        <v>3.6954199717132899E-4</v>
      </c>
      <c r="D30">
        <v>2.77289196218244E-3</v>
      </c>
      <c r="E30">
        <v>0.296316422211158</v>
      </c>
      <c r="F30">
        <v>1.2385102112974001E-3</v>
      </c>
      <c r="G30">
        <v>5.2863129121112802E-3</v>
      </c>
      <c r="H30">
        <v>1.89327127443806E-2</v>
      </c>
      <c r="I30">
        <v>6.58485768263215E-3</v>
      </c>
      <c r="J30">
        <v>1.1234744781512001E-2</v>
      </c>
    </row>
    <row r="31" spans="2:10" x14ac:dyDescent="0.3">
      <c r="B31" t="s">
        <v>5</v>
      </c>
      <c r="C31">
        <v>1.3020223821832099E-3</v>
      </c>
      <c r="D31">
        <v>1.87591982256493E-3</v>
      </c>
      <c r="E31">
        <v>1.4465034193387901E-3</v>
      </c>
      <c r="F31">
        <v>8.1414778449368595E-3</v>
      </c>
      <c r="G31">
        <v>6.7590814511103402E-3</v>
      </c>
      <c r="H31">
        <v>2.22354371465391E-3</v>
      </c>
      <c r="I31">
        <v>2.65762743879529E-4</v>
      </c>
      <c r="J31">
        <v>1.42460819328053E-3</v>
      </c>
    </row>
    <row r="32" spans="2:10" x14ac:dyDescent="0.3">
      <c r="B32" t="s">
        <v>13</v>
      </c>
      <c r="C32">
        <v>4.1086151468565699E-4</v>
      </c>
      <c r="D32">
        <v>2.05176800175381E-3</v>
      </c>
      <c r="E32">
        <v>4.2492525079643002E-3</v>
      </c>
      <c r="F32">
        <v>4.6683047132757196E-3</v>
      </c>
      <c r="G32">
        <v>5.0178824740223602E-2</v>
      </c>
      <c r="H32">
        <v>1.44772058342061E-2</v>
      </c>
      <c r="I32">
        <v>4.2949876771288297E-3</v>
      </c>
      <c r="J32">
        <v>1.08852676884713E-2</v>
      </c>
    </row>
    <row r="33" spans="2:10" x14ac:dyDescent="0.3">
      <c r="B33" t="s">
        <v>14</v>
      </c>
      <c r="C33">
        <v>6.2345340657000503E-4</v>
      </c>
      <c r="D33">
        <v>2.8560572147652602E-3</v>
      </c>
      <c r="E33">
        <v>2.5305802179995798E-2</v>
      </c>
      <c r="F33">
        <v>1.41172730271543E-3</v>
      </c>
      <c r="G33">
        <v>1.52246864303913E-2</v>
      </c>
      <c r="H33">
        <v>9.3796174160439297E-2</v>
      </c>
      <c r="I33">
        <v>1.05653045365124E-2</v>
      </c>
      <c r="J33">
        <v>2.6149855136883102E-2</v>
      </c>
    </row>
    <row r="34" spans="2:10" x14ac:dyDescent="0.3">
      <c r="B34" t="s">
        <v>8</v>
      </c>
      <c r="C34">
        <v>1.2903769589192E-5</v>
      </c>
      <c r="D34">
        <v>9.7684281273074892E-4</v>
      </c>
      <c r="E34">
        <v>6.6169569534364698E-3</v>
      </c>
      <c r="F34">
        <v>2.5720598886825702E-4</v>
      </c>
      <c r="G34">
        <v>5.0071659391365802E-3</v>
      </c>
      <c r="H34">
        <v>1.2785622308769E-2</v>
      </c>
      <c r="I34">
        <v>1.1367946459789001E-2</v>
      </c>
      <c r="J34">
        <v>1.4527631203309899E-2</v>
      </c>
    </row>
    <row r="35" spans="2:10" x14ac:dyDescent="0.3">
      <c r="B35" t="s">
        <v>9</v>
      </c>
      <c r="C35">
        <v>2.9706124884054799E-4</v>
      </c>
      <c r="D35">
        <v>2.2099993323900801E-3</v>
      </c>
      <c r="E35">
        <v>1.0041260489632199E-2</v>
      </c>
      <c r="F35">
        <v>8.7580904233026697E-4</v>
      </c>
      <c r="G35">
        <v>1.19957240019129E-2</v>
      </c>
      <c r="H35">
        <v>3.1390936218359998E-2</v>
      </c>
      <c r="I35">
        <v>1.69140964485394E-2</v>
      </c>
      <c r="J35">
        <v>0.20682408991017201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-9.3861196346915505E-4</v>
      </c>
    </row>
    <row r="41" spans="2:10" x14ac:dyDescent="0.3">
      <c r="B41" t="s">
        <v>11</v>
      </c>
      <c r="C41">
        <v>6.4857457502555697E-4</v>
      </c>
    </row>
    <row r="42" spans="2:10" x14ac:dyDescent="0.3">
      <c r="B42" t="s">
        <v>12</v>
      </c>
      <c r="C42">
        <v>4.7533689248583401E-3</v>
      </c>
    </row>
    <row r="43" spans="2:10" x14ac:dyDescent="0.3">
      <c r="B43" t="s">
        <v>5</v>
      </c>
      <c r="C43">
        <v>-4.1757879615974703E-3</v>
      </c>
    </row>
    <row r="44" spans="2:10" x14ac:dyDescent="0.3">
      <c r="B44" t="s">
        <v>13</v>
      </c>
      <c r="C44">
        <v>6.5171815293611803E-3</v>
      </c>
    </row>
    <row r="45" spans="2:10" x14ac:dyDescent="0.3">
      <c r="B45" t="s">
        <v>14</v>
      </c>
      <c r="C45">
        <v>9.4854145992609397E-4</v>
      </c>
    </row>
    <row r="46" spans="2:10" x14ac:dyDescent="0.3">
      <c r="B46" t="s">
        <v>8</v>
      </c>
      <c r="C46">
        <v>-6.3999494099019295E-4</v>
      </c>
    </row>
    <row r="47" spans="2:10" x14ac:dyDescent="0.3">
      <c r="B47" t="s">
        <v>9</v>
      </c>
      <c r="C47">
        <v>-7.11327162311437E-3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7"/>
  <sheetViews>
    <sheetView topLeftCell="A10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119513</v>
      </c>
      <c r="D4" s="4">
        <v>20000</v>
      </c>
      <c r="E4" s="4">
        <v>32567</v>
      </c>
      <c r="F4" s="4">
        <v>38079</v>
      </c>
      <c r="G4" s="4">
        <v>41610</v>
      </c>
      <c r="H4" s="5">
        <v>28856</v>
      </c>
      <c r="I4" s="4">
        <v>0</v>
      </c>
      <c r="J4" s="4">
        <v>9648</v>
      </c>
      <c r="K4" s="15">
        <f>SUM(C4:J4)</f>
        <v>290273</v>
      </c>
      <c r="L4" s="18">
        <f>K4/$K$12</f>
        <v>6.7586611520982472E-3</v>
      </c>
    </row>
    <row r="5" spans="1:12" ht="29.4" thickBot="1" x14ac:dyDescent="0.35">
      <c r="A5" s="49"/>
      <c r="B5" s="13" t="s">
        <v>11</v>
      </c>
      <c r="C5" s="4">
        <v>32906</v>
      </c>
      <c r="D5" s="4">
        <v>661735</v>
      </c>
      <c r="E5" s="4">
        <v>115974</v>
      </c>
      <c r="F5" s="4">
        <v>91525</v>
      </c>
      <c r="G5" s="4">
        <v>125198</v>
      </c>
      <c r="H5" s="5">
        <v>127031</v>
      </c>
      <c r="I5" s="4">
        <v>34561</v>
      </c>
      <c r="J5" s="4">
        <v>71988</v>
      </c>
      <c r="K5" s="15">
        <f t="shared" ref="K5:K11" si="0">SUM(C5:J5)</f>
        <v>1260918</v>
      </c>
      <c r="L5" s="18">
        <f t="shared" ref="L5:L12" si="1">K5/$K$12</f>
        <v>2.9358974147031994E-2</v>
      </c>
    </row>
    <row r="6" spans="1:12" ht="29.4" thickBot="1" x14ac:dyDescent="0.35">
      <c r="A6" s="49"/>
      <c r="B6" s="13" t="s">
        <v>12</v>
      </c>
      <c r="C6" s="4">
        <v>27062</v>
      </c>
      <c r="D6" s="4">
        <v>91138</v>
      </c>
      <c r="E6" s="4">
        <v>12924492</v>
      </c>
      <c r="F6" s="4">
        <v>44641</v>
      </c>
      <c r="G6" s="4">
        <v>214428</v>
      </c>
      <c r="H6" s="5">
        <v>790130</v>
      </c>
      <c r="I6" s="4">
        <v>319234</v>
      </c>
      <c r="J6" s="4">
        <v>460853</v>
      </c>
      <c r="K6" s="15">
        <f t="shared" si="0"/>
        <v>14871978</v>
      </c>
      <c r="L6" s="18">
        <f t="shared" si="1"/>
        <v>0.3462762983930982</v>
      </c>
    </row>
    <row r="7" spans="1:12" ht="29.4" thickBot="1" x14ac:dyDescent="0.35">
      <c r="A7" s="49"/>
      <c r="B7" s="13" t="s">
        <v>5</v>
      </c>
      <c r="C7" s="4">
        <v>26226</v>
      </c>
      <c r="D7" s="4">
        <v>79774</v>
      </c>
      <c r="E7" s="4">
        <v>61266</v>
      </c>
      <c r="F7" s="4">
        <v>304341</v>
      </c>
      <c r="G7" s="4">
        <v>249294</v>
      </c>
      <c r="H7" s="5">
        <v>45736</v>
      </c>
      <c r="I7" s="4">
        <v>19841</v>
      </c>
      <c r="J7" s="4">
        <v>68038</v>
      </c>
      <c r="K7" s="15">
        <f t="shared" si="0"/>
        <v>854516</v>
      </c>
      <c r="L7" s="18">
        <f t="shared" si="1"/>
        <v>1.9896387514672001E-2</v>
      </c>
    </row>
    <row r="8" spans="1:12" ht="43.8" thickBot="1" x14ac:dyDescent="0.35">
      <c r="A8" s="49"/>
      <c r="B8" s="13" t="s">
        <v>13</v>
      </c>
      <c r="C8" s="4">
        <v>15146</v>
      </c>
      <c r="D8" s="4">
        <v>101540</v>
      </c>
      <c r="E8" s="4">
        <v>190920</v>
      </c>
      <c r="F8" s="4">
        <v>170335</v>
      </c>
      <c r="G8" s="4">
        <v>2298424</v>
      </c>
      <c r="H8" s="5">
        <v>511372</v>
      </c>
      <c r="I8" s="4">
        <v>135139</v>
      </c>
      <c r="J8" s="4">
        <v>549165</v>
      </c>
      <c r="K8" s="15">
        <f t="shared" si="0"/>
        <v>3972041</v>
      </c>
      <c r="L8" s="18">
        <f t="shared" si="1"/>
        <v>9.2484244835866494E-2</v>
      </c>
    </row>
    <row r="9" spans="1:12" ht="29.4" thickBot="1" x14ac:dyDescent="0.35">
      <c r="A9" s="49"/>
      <c r="B9" s="8" t="s">
        <v>14</v>
      </c>
      <c r="C9" s="6">
        <v>27852</v>
      </c>
      <c r="D9" s="6">
        <v>119800</v>
      </c>
      <c r="E9" s="6">
        <v>1141660</v>
      </c>
      <c r="F9" s="6">
        <v>78922</v>
      </c>
      <c r="G9" s="6">
        <v>591230</v>
      </c>
      <c r="H9" s="7">
        <v>3894664</v>
      </c>
      <c r="I9" s="4">
        <v>443682</v>
      </c>
      <c r="J9" s="4">
        <v>1039874</v>
      </c>
      <c r="K9" s="15">
        <f t="shared" si="0"/>
        <v>7337684</v>
      </c>
      <c r="L9" s="18">
        <f t="shared" si="1"/>
        <v>0.17084923433172522</v>
      </c>
    </row>
    <row r="10" spans="1:12" ht="29.4" thickBot="1" x14ac:dyDescent="0.35">
      <c r="A10" s="49"/>
      <c r="B10" s="13" t="s">
        <v>8</v>
      </c>
      <c r="C10" s="4">
        <v>4502</v>
      </c>
      <c r="D10" s="4">
        <v>31531</v>
      </c>
      <c r="E10" s="4">
        <v>258799</v>
      </c>
      <c r="F10" s="4">
        <v>13396</v>
      </c>
      <c r="G10" s="4">
        <v>240196</v>
      </c>
      <c r="H10" s="4">
        <v>536198</v>
      </c>
      <c r="I10" s="4">
        <v>533072</v>
      </c>
      <c r="J10" s="4">
        <v>603376</v>
      </c>
      <c r="K10" s="15">
        <f t="shared" si="0"/>
        <v>2221070</v>
      </c>
      <c r="L10" s="18">
        <f t="shared" si="1"/>
        <v>5.1714970131878799E-2</v>
      </c>
    </row>
    <row r="11" spans="1:12" ht="15" thickBot="1" x14ac:dyDescent="0.35">
      <c r="A11" s="49"/>
      <c r="B11" s="13" t="s">
        <v>9</v>
      </c>
      <c r="C11" s="4">
        <v>9063</v>
      </c>
      <c r="D11" s="4">
        <v>111598</v>
      </c>
      <c r="E11" s="4">
        <v>478925</v>
      </c>
      <c r="F11" s="4">
        <v>39558</v>
      </c>
      <c r="G11" s="4">
        <v>433948</v>
      </c>
      <c r="H11" s="4">
        <v>1166641</v>
      </c>
      <c r="I11" s="4">
        <v>772690</v>
      </c>
      <c r="J11" s="4">
        <v>9127396</v>
      </c>
      <c r="K11" s="15">
        <f t="shared" si="0"/>
        <v>12139819</v>
      </c>
      <c r="L11" s="18">
        <f t="shared" si="1"/>
        <v>0.2826612294936291</v>
      </c>
    </row>
    <row r="12" spans="1:12" ht="15" thickBot="1" x14ac:dyDescent="0.35">
      <c r="A12" s="50"/>
      <c r="B12" s="20" t="s">
        <v>18</v>
      </c>
      <c r="C12" s="21">
        <f>SUM(C4:C11)</f>
        <v>262270</v>
      </c>
      <c r="D12" s="21">
        <f t="shared" ref="D12:J12" si="2">SUM(D4:D11)</f>
        <v>1217116</v>
      </c>
      <c r="E12" s="21">
        <f t="shared" si="2"/>
        <v>15204603</v>
      </c>
      <c r="F12" s="21">
        <f t="shared" si="2"/>
        <v>780797</v>
      </c>
      <c r="G12" s="21">
        <f t="shared" si="2"/>
        <v>4194328</v>
      </c>
      <c r="H12" s="21">
        <f t="shared" si="2"/>
        <v>7100628</v>
      </c>
      <c r="I12" s="21">
        <f t="shared" si="2"/>
        <v>2258219</v>
      </c>
      <c r="J12" s="21">
        <f t="shared" si="2"/>
        <v>11930338</v>
      </c>
      <c r="K12" s="22">
        <f>SUM(K4:K11)</f>
        <v>42948299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6.1066446426667562E-3</v>
      </c>
      <c r="D13" s="18">
        <f t="shared" ref="D13:K13" si="3">D12/$K$12</f>
        <v>2.8339096735821832E-2</v>
      </c>
      <c r="E13" s="18">
        <f t="shared" si="3"/>
        <v>0.35402107543304567</v>
      </c>
      <c r="F13" s="18">
        <f t="shared" si="3"/>
        <v>1.8179928383193943E-2</v>
      </c>
      <c r="G13" s="18">
        <f t="shared" si="3"/>
        <v>9.7659932934712965E-2</v>
      </c>
      <c r="H13" s="18">
        <f t="shared" si="3"/>
        <v>0.16532966765459092</v>
      </c>
      <c r="I13" s="18">
        <f t="shared" si="3"/>
        <v>5.2579940360385401E-2</v>
      </c>
      <c r="J13" s="18">
        <f t="shared" si="3"/>
        <v>0.27778371385558248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0.41172620257481801</v>
      </c>
      <c r="D16" s="23">
        <v>6.8900655589737902E-2</v>
      </c>
      <c r="E16" s="23">
        <v>0.11219438252955</v>
      </c>
      <c r="F16" s="23">
        <v>0.13118340321008201</v>
      </c>
      <c r="G16" s="23">
        <v>0.14334781395445001</v>
      </c>
      <c r="H16" s="24">
        <v>9.9409865884873896E-2</v>
      </c>
      <c r="I16" s="23">
        <v>0</v>
      </c>
      <c r="J16" s="32">
        <v>3.3237676256489601E-2</v>
      </c>
    </row>
    <row r="17" spans="2:10" ht="29.4" thickBot="1" x14ac:dyDescent="0.35">
      <c r="B17" s="31" t="s">
        <v>11</v>
      </c>
      <c r="C17" s="23">
        <v>2.6096859589600601E-2</v>
      </c>
      <c r="D17" s="23">
        <v>0.524804150626766</v>
      </c>
      <c r="E17" s="23">
        <v>9.1975846169219597E-2</v>
      </c>
      <c r="F17" s="23">
        <v>7.2586004799677695E-2</v>
      </c>
      <c r="G17" s="23">
        <v>9.9291151367495806E-2</v>
      </c>
      <c r="H17" s="24">
        <v>0.100744854145948</v>
      </c>
      <c r="I17" s="23">
        <v>2.7409395377018999E-2</v>
      </c>
      <c r="J17" s="32">
        <v>5.7091737924274202E-2</v>
      </c>
    </row>
    <row r="18" spans="2:10" ht="29.4" thickBot="1" x14ac:dyDescent="0.35">
      <c r="B18" s="31" t="s">
        <v>12</v>
      </c>
      <c r="C18" s="23">
        <v>1.8196637999330001E-3</v>
      </c>
      <c r="D18" s="23">
        <v>6.1281693665765202E-3</v>
      </c>
      <c r="E18" s="23">
        <v>0.86904996766401899</v>
      </c>
      <c r="F18" s="23">
        <v>3.0016854516594898E-3</v>
      </c>
      <c r="G18" s="23">
        <v>1.44182569393258E-2</v>
      </c>
      <c r="H18" s="24">
        <v>5.3128776817717202E-2</v>
      </c>
      <c r="I18" s="23">
        <v>2.1465470161400199E-2</v>
      </c>
      <c r="J18" s="32">
        <v>3.0988009799368998E-2</v>
      </c>
    </row>
    <row r="19" spans="2:10" ht="29.4" thickBot="1" x14ac:dyDescent="0.35">
      <c r="B19" s="31" t="s">
        <v>5</v>
      </c>
      <c r="C19" s="23">
        <v>3.06910578619944E-2</v>
      </c>
      <c r="D19" s="23">
        <v>9.3355770986148903E-2</v>
      </c>
      <c r="E19" s="23">
        <v>7.1696726568022104E-2</v>
      </c>
      <c r="F19" s="23">
        <v>0.356155999419554</v>
      </c>
      <c r="G19" s="23">
        <v>0.29173707689499101</v>
      </c>
      <c r="H19" s="24">
        <v>5.3522695888666802E-2</v>
      </c>
      <c r="I19" s="23">
        <v>2.3218991803547299E-2</v>
      </c>
      <c r="J19" s="32">
        <v>7.9621680577075193E-2</v>
      </c>
    </row>
    <row r="20" spans="2:10" ht="43.8" thickBot="1" x14ac:dyDescent="0.35">
      <c r="B20" s="31" t="s">
        <v>13</v>
      </c>
      <c r="C20" s="23">
        <v>3.8131529860844799E-3</v>
      </c>
      <c r="D20" s="23">
        <v>2.5563683758551298E-2</v>
      </c>
      <c r="E20" s="23">
        <v>4.8065969107569599E-2</v>
      </c>
      <c r="F20" s="23">
        <v>4.28834949085369E-2</v>
      </c>
      <c r="G20" s="23">
        <v>0.57865062319346605</v>
      </c>
      <c r="H20" s="24">
        <v>0.12874288054932001</v>
      </c>
      <c r="I20" s="23">
        <v>3.4022559183049701E-2</v>
      </c>
      <c r="J20" s="32">
        <v>0.138257636313422</v>
      </c>
    </row>
    <row r="21" spans="2:10" ht="29.4" thickBot="1" x14ac:dyDescent="0.35">
      <c r="B21" s="33" t="s">
        <v>14</v>
      </c>
      <c r="C21" s="25">
        <v>3.79574808618087E-3</v>
      </c>
      <c r="D21" s="25">
        <v>1.63266774638973E-2</v>
      </c>
      <c r="E21" s="25">
        <v>0.155588602616302</v>
      </c>
      <c r="F21" s="25">
        <v>1.0755709839780501E-2</v>
      </c>
      <c r="G21" s="25">
        <v>8.0574470091652903E-2</v>
      </c>
      <c r="H21" s="26">
        <v>0.530775650736663</v>
      </c>
      <c r="I21" s="23">
        <v>6.0466217951059199E-2</v>
      </c>
      <c r="J21" s="32">
        <v>0.141716923214464</v>
      </c>
    </row>
    <row r="22" spans="2:10" ht="29.4" thickBot="1" x14ac:dyDescent="0.35">
      <c r="B22" s="31" t="s">
        <v>8</v>
      </c>
      <c r="C22" s="23">
        <v>2.0269509740800601E-3</v>
      </c>
      <c r="D22" s="23">
        <v>1.4196310787143099E-2</v>
      </c>
      <c r="E22" s="23">
        <v>0.116519965602165</v>
      </c>
      <c r="F22" s="23">
        <v>6.0313272431755903E-3</v>
      </c>
      <c r="G22" s="23">
        <v>0.10814427280545</v>
      </c>
      <c r="H22" s="23">
        <v>0.241414273300706</v>
      </c>
      <c r="I22" s="23">
        <v>0.24000684354838001</v>
      </c>
      <c r="J22" s="32">
        <v>0.27166005573890101</v>
      </c>
    </row>
    <row r="23" spans="2:10" ht="15" thickBot="1" x14ac:dyDescent="0.35">
      <c r="B23" s="34" t="s">
        <v>9</v>
      </c>
      <c r="C23" s="35">
        <v>7.4655149306591798E-4</v>
      </c>
      <c r="D23" s="35">
        <v>9.1927235488436908E-3</v>
      </c>
      <c r="E23" s="35">
        <v>3.9450752931324599E-2</v>
      </c>
      <c r="F23" s="35">
        <v>3.2585329319984101E-3</v>
      </c>
      <c r="G23" s="35">
        <v>3.5745837726246198E-2</v>
      </c>
      <c r="H23" s="35">
        <v>9.6100361957620603E-2</v>
      </c>
      <c r="I23" s="35">
        <v>6.3649219152279002E-2</v>
      </c>
      <c r="J23" s="36">
        <v>0.75185602025862197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2.78271789064335E-3</v>
      </c>
      <c r="D28">
        <v>4.6567618428846301E-4</v>
      </c>
      <c r="E28">
        <v>7.5828381468611805E-4</v>
      </c>
      <c r="F28">
        <v>8.8662417107601905E-4</v>
      </c>
      <c r="G28">
        <v>9.6883930141214696E-4</v>
      </c>
      <c r="H28">
        <v>6.7187759869139396E-4</v>
      </c>
      <c r="I28">
        <v>0</v>
      </c>
      <c r="J28">
        <v>2.2464219130075399E-4</v>
      </c>
    </row>
    <row r="29" spans="2:10" x14ac:dyDescent="0.3">
      <c r="B29" t="s">
        <v>11</v>
      </c>
      <c r="C29">
        <v>7.6617702600980796E-4</v>
      </c>
      <c r="D29">
        <v>1.54077114905063E-2</v>
      </c>
      <c r="E29">
        <v>2.70031648983351E-3</v>
      </c>
      <c r="F29">
        <v>2.13105063835008E-3</v>
      </c>
      <c r="G29">
        <v>2.9150863460273499E-3</v>
      </c>
      <c r="H29">
        <v>2.9577655683173899E-3</v>
      </c>
      <c r="I29">
        <v>8.0471173025967798E-4</v>
      </c>
      <c r="J29">
        <v>1.67615485772789E-3</v>
      </c>
    </row>
    <row r="30" spans="2:10" x14ac:dyDescent="0.3">
      <c r="B30" t="s">
        <v>12</v>
      </c>
      <c r="C30">
        <v>6.3010644496071895E-4</v>
      </c>
      <c r="D30">
        <v>2.1220398041841E-3</v>
      </c>
      <c r="E30">
        <v>0.30093140592133799</v>
      </c>
      <c r="F30">
        <v>1.0394125271410599E-3</v>
      </c>
      <c r="G30">
        <v>4.9927006422303202E-3</v>
      </c>
      <c r="H30">
        <v>1.8397236174592199E-2</v>
      </c>
      <c r="I30">
        <v>7.4329835507571601E-3</v>
      </c>
      <c r="J30">
        <v>1.0730413327894499E-2</v>
      </c>
    </row>
    <row r="31" spans="2:10" x14ac:dyDescent="0.3">
      <c r="B31" t="s">
        <v>5</v>
      </c>
      <c r="C31">
        <v>6.1064118045746102E-4</v>
      </c>
      <c r="D31">
        <v>1.8574425962713901E-3</v>
      </c>
      <c r="E31">
        <v>1.42650585533085E-3</v>
      </c>
      <c r="F31">
        <v>7.0862177801267502E-3</v>
      </c>
      <c r="G31">
        <v>5.8045139343003999E-3</v>
      </c>
      <c r="H31">
        <v>1.06490829823086E-3</v>
      </c>
      <c r="I31">
        <v>4.61974058623369E-4</v>
      </c>
      <c r="J31">
        <v>1.5841838113309201E-3</v>
      </c>
    </row>
    <row r="32" spans="2:10" x14ac:dyDescent="0.3">
      <c r="B32" t="s">
        <v>13</v>
      </c>
      <c r="C32">
        <v>3.5265657436165298E-4</v>
      </c>
      <c r="D32">
        <v>2.3642379876325299E-3</v>
      </c>
      <c r="E32">
        <v>4.4453448552176696E-3</v>
      </c>
      <c r="F32">
        <v>3.9660476425387604E-3</v>
      </c>
      <c r="G32">
        <v>5.35160659098513E-2</v>
      </c>
      <c r="H32">
        <v>1.1906688085598E-2</v>
      </c>
      <c r="I32">
        <v>3.1465506934279298E-3</v>
      </c>
      <c r="J32">
        <v>1.2786653087238699E-2</v>
      </c>
    </row>
    <row r="33" spans="2:10" x14ac:dyDescent="0.3">
      <c r="B33" t="s">
        <v>14</v>
      </c>
      <c r="C33">
        <v>6.4850065424011303E-4</v>
      </c>
      <c r="D33">
        <v>2.78940034388789E-3</v>
      </c>
      <c r="E33">
        <v>2.6582193627738299E-2</v>
      </c>
      <c r="F33">
        <v>1.8376047908207E-3</v>
      </c>
      <c r="G33">
        <v>1.37660865218434E-2</v>
      </c>
      <c r="H33">
        <v>9.0682613530282105E-2</v>
      </c>
      <c r="I33">
        <v>1.03306070398737E-2</v>
      </c>
      <c r="J33">
        <v>2.4212227823039001E-2</v>
      </c>
    </row>
    <row r="34" spans="2:10" x14ac:dyDescent="0.3">
      <c r="B34" t="s">
        <v>8</v>
      </c>
      <c r="C34">
        <v>1.0482370908333299E-4</v>
      </c>
      <c r="D34">
        <v>7.3416178833997597E-4</v>
      </c>
      <c r="E34">
        <v>6.0258265408834897E-3</v>
      </c>
      <c r="F34">
        <v>3.1190990823641199E-4</v>
      </c>
      <c r="G34">
        <v>5.5926778380675796E-3</v>
      </c>
      <c r="H34">
        <v>1.24847319331553E-2</v>
      </c>
      <c r="I34">
        <v>1.2411946745550999E-2</v>
      </c>
      <c r="J34">
        <v>1.4048891668561801E-2</v>
      </c>
    </row>
    <row r="35" spans="2:10" x14ac:dyDescent="0.3">
      <c r="B35" t="s">
        <v>9</v>
      </c>
      <c r="C35">
        <v>2.11021162910317E-4</v>
      </c>
      <c r="D35">
        <v>2.5984265407111898E-3</v>
      </c>
      <c r="E35">
        <v>1.11511983280176E-2</v>
      </c>
      <c r="F35">
        <v>9.2106092490415003E-4</v>
      </c>
      <c r="G35">
        <v>1.01039624409805E-2</v>
      </c>
      <c r="H35">
        <v>2.7163846465723802E-2</v>
      </c>
      <c r="I35">
        <v>1.79911665418926E-2</v>
      </c>
      <c r="J35">
        <v>0.212520547088489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-6.5201650943149097E-4</v>
      </c>
    </row>
    <row r="41" spans="2:10" x14ac:dyDescent="0.3">
      <c r="B41" t="s">
        <v>11</v>
      </c>
      <c r="C41">
        <v>-1.0198774112101601E-3</v>
      </c>
    </row>
    <row r="42" spans="2:10" x14ac:dyDescent="0.3">
      <c r="B42" t="s">
        <v>12</v>
      </c>
      <c r="C42">
        <v>7.7447770399474702E-3</v>
      </c>
    </row>
    <row r="43" spans="2:10" x14ac:dyDescent="0.3">
      <c r="B43" t="s">
        <v>5</v>
      </c>
      <c r="C43">
        <v>-1.71645913147806E-3</v>
      </c>
    </row>
    <row r="44" spans="2:10" x14ac:dyDescent="0.3">
      <c r="B44" t="s">
        <v>13</v>
      </c>
      <c r="C44">
        <v>5.1756880988464704E-3</v>
      </c>
    </row>
    <row r="45" spans="2:10" x14ac:dyDescent="0.3">
      <c r="B45" t="s">
        <v>14</v>
      </c>
      <c r="C45">
        <v>-5.5195666771343001E-3</v>
      </c>
    </row>
    <row r="46" spans="2:10" x14ac:dyDescent="0.3">
      <c r="B46" t="s">
        <v>8</v>
      </c>
      <c r="C46">
        <v>8.6497022850660205E-4</v>
      </c>
    </row>
    <row r="47" spans="2:10" x14ac:dyDescent="0.3">
      <c r="B47" t="s">
        <v>9</v>
      </c>
      <c r="C47">
        <v>-4.8775156380466101E-3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7"/>
  <sheetViews>
    <sheetView topLeftCell="A13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22540</v>
      </c>
      <c r="D4" s="4">
        <v>4078</v>
      </c>
      <c r="E4" s="4">
        <v>10086</v>
      </c>
      <c r="F4" s="4">
        <v>5820</v>
      </c>
      <c r="G4" s="4">
        <v>3900</v>
      </c>
      <c r="H4" s="5">
        <v>8472</v>
      </c>
      <c r="I4" s="4">
        <v>154</v>
      </c>
      <c r="J4" s="4">
        <v>1600</v>
      </c>
      <c r="K4" s="15">
        <f>SUM(C4:J4)</f>
        <v>56650</v>
      </c>
      <c r="L4" s="18">
        <f>K4/$K$12</f>
        <v>4.8444143432291075E-3</v>
      </c>
    </row>
    <row r="5" spans="1:12" ht="29.4" thickBot="1" x14ac:dyDescent="0.35">
      <c r="A5" s="49"/>
      <c r="B5" s="13" t="s">
        <v>11</v>
      </c>
      <c r="C5" s="4">
        <v>0</v>
      </c>
      <c r="D5" s="4">
        <v>166492</v>
      </c>
      <c r="E5" s="4">
        <v>30534</v>
      </c>
      <c r="F5" s="4">
        <v>22724</v>
      </c>
      <c r="G5" s="4">
        <v>28118</v>
      </c>
      <c r="H5" s="5">
        <v>35266</v>
      </c>
      <c r="I5" s="4">
        <v>10176</v>
      </c>
      <c r="J5" s="4">
        <v>12188</v>
      </c>
      <c r="K5" s="15">
        <f t="shared" ref="K5:K11" si="0">SUM(C5:J5)</f>
        <v>305498</v>
      </c>
      <c r="L5" s="18">
        <f t="shared" ref="L5:L12" si="1">K5/$K$12</f>
        <v>2.6124605349122788E-2</v>
      </c>
    </row>
    <row r="6" spans="1:12" ht="29.4" thickBot="1" x14ac:dyDescent="0.35">
      <c r="A6" s="49"/>
      <c r="B6" s="13" t="s">
        <v>12</v>
      </c>
      <c r="C6" s="4">
        <v>7900</v>
      </c>
      <c r="D6" s="4">
        <v>21791</v>
      </c>
      <c r="E6" s="4">
        <v>3408914</v>
      </c>
      <c r="F6" s="4">
        <v>11016</v>
      </c>
      <c r="G6" s="4">
        <v>42872</v>
      </c>
      <c r="H6" s="5">
        <v>237797</v>
      </c>
      <c r="I6" s="4">
        <v>78420</v>
      </c>
      <c r="J6" s="4">
        <v>104623</v>
      </c>
      <c r="K6" s="15">
        <f t="shared" si="0"/>
        <v>3913333</v>
      </c>
      <c r="L6" s="18">
        <f t="shared" si="1"/>
        <v>0.33464795260426822</v>
      </c>
    </row>
    <row r="7" spans="1:12" ht="29.4" thickBot="1" x14ac:dyDescent="0.35">
      <c r="A7" s="49"/>
      <c r="B7" s="13" t="s">
        <v>5</v>
      </c>
      <c r="C7" s="4">
        <v>5814</v>
      </c>
      <c r="D7" s="4">
        <v>14388</v>
      </c>
      <c r="E7" s="4">
        <v>22946</v>
      </c>
      <c r="F7" s="4">
        <v>80655</v>
      </c>
      <c r="G7" s="4">
        <v>93834</v>
      </c>
      <c r="H7" s="5">
        <v>26430</v>
      </c>
      <c r="I7" s="4">
        <v>4002</v>
      </c>
      <c r="J7" s="4">
        <v>9555</v>
      </c>
      <c r="K7" s="15">
        <f t="shared" si="0"/>
        <v>257624</v>
      </c>
      <c r="L7" s="18">
        <f t="shared" si="1"/>
        <v>2.2030669033716782E-2</v>
      </c>
    </row>
    <row r="8" spans="1:12" ht="43.8" thickBot="1" x14ac:dyDescent="0.35">
      <c r="A8" s="49"/>
      <c r="B8" s="13" t="s">
        <v>13</v>
      </c>
      <c r="C8" s="4">
        <v>4000</v>
      </c>
      <c r="D8" s="4">
        <v>37578</v>
      </c>
      <c r="E8" s="4">
        <v>44482</v>
      </c>
      <c r="F8" s="4">
        <v>67322</v>
      </c>
      <c r="G8" s="4">
        <v>599857</v>
      </c>
      <c r="H8" s="5">
        <v>171152</v>
      </c>
      <c r="I8" s="4">
        <v>41590</v>
      </c>
      <c r="J8" s="4">
        <v>129150</v>
      </c>
      <c r="K8" s="15">
        <f t="shared" si="0"/>
        <v>1095131</v>
      </c>
      <c r="L8" s="18">
        <f t="shared" si="1"/>
        <v>9.3649926286228355E-2</v>
      </c>
    </row>
    <row r="9" spans="1:12" ht="29.4" thickBot="1" x14ac:dyDescent="0.35">
      <c r="A9" s="49"/>
      <c r="B9" s="8" t="s">
        <v>14</v>
      </c>
      <c r="C9" s="6">
        <v>2140</v>
      </c>
      <c r="D9" s="6">
        <v>41912</v>
      </c>
      <c r="E9" s="6">
        <v>294668</v>
      </c>
      <c r="F9" s="6">
        <v>19174</v>
      </c>
      <c r="G9" s="6">
        <v>176786</v>
      </c>
      <c r="H9" s="7">
        <v>988048</v>
      </c>
      <c r="I9" s="4">
        <v>120791</v>
      </c>
      <c r="J9" s="4">
        <v>306964</v>
      </c>
      <c r="K9" s="15">
        <f t="shared" si="0"/>
        <v>1950483</v>
      </c>
      <c r="L9" s="18">
        <f t="shared" si="1"/>
        <v>0.16679519543556118</v>
      </c>
    </row>
    <row r="10" spans="1:12" ht="29.4" thickBot="1" x14ac:dyDescent="0.35">
      <c r="A10" s="49"/>
      <c r="B10" s="13" t="s">
        <v>8</v>
      </c>
      <c r="C10" s="4">
        <v>508</v>
      </c>
      <c r="D10" s="4">
        <v>12394</v>
      </c>
      <c r="E10" s="4">
        <v>77234</v>
      </c>
      <c r="F10" s="4">
        <v>1088</v>
      </c>
      <c r="G10" s="4">
        <v>50084</v>
      </c>
      <c r="H10" s="4">
        <v>179624</v>
      </c>
      <c r="I10" s="4">
        <v>145798</v>
      </c>
      <c r="J10" s="4">
        <v>169453</v>
      </c>
      <c r="K10" s="15">
        <f t="shared" si="0"/>
        <v>636183</v>
      </c>
      <c r="L10" s="18">
        <f t="shared" si="1"/>
        <v>5.4403072376319923E-2</v>
      </c>
    </row>
    <row r="11" spans="1:12" ht="15" thickBot="1" x14ac:dyDescent="0.35">
      <c r="A11" s="49"/>
      <c r="B11" s="13" t="s">
        <v>9</v>
      </c>
      <c r="C11" s="4">
        <v>268</v>
      </c>
      <c r="D11" s="4">
        <v>28666</v>
      </c>
      <c r="E11" s="4">
        <v>125127</v>
      </c>
      <c r="F11" s="4">
        <v>19003</v>
      </c>
      <c r="G11" s="4">
        <v>140883</v>
      </c>
      <c r="H11" s="4">
        <v>316527</v>
      </c>
      <c r="I11" s="4">
        <v>240768</v>
      </c>
      <c r="J11" s="4">
        <v>2607736</v>
      </c>
      <c r="K11" s="15">
        <f t="shared" si="0"/>
        <v>3478978</v>
      </c>
      <c r="L11" s="18">
        <f t="shared" si="1"/>
        <v>0.29750416457155365</v>
      </c>
    </row>
    <row r="12" spans="1:12" ht="15" thickBot="1" x14ac:dyDescent="0.35">
      <c r="A12" s="50"/>
      <c r="B12" s="20" t="s">
        <v>18</v>
      </c>
      <c r="C12" s="21">
        <f>SUM(C4:C11)</f>
        <v>43170</v>
      </c>
      <c r="D12" s="21">
        <f t="shared" ref="D12:J12" si="2">SUM(D4:D11)</f>
        <v>327299</v>
      </c>
      <c r="E12" s="21">
        <f t="shared" si="2"/>
        <v>4013991</v>
      </c>
      <c r="F12" s="21">
        <f t="shared" si="2"/>
        <v>226802</v>
      </c>
      <c r="G12" s="21">
        <f t="shared" si="2"/>
        <v>1136334</v>
      </c>
      <c r="H12" s="21">
        <f t="shared" si="2"/>
        <v>1963316</v>
      </c>
      <c r="I12" s="21">
        <f t="shared" si="2"/>
        <v>641699</v>
      </c>
      <c r="J12" s="21">
        <f t="shared" si="2"/>
        <v>3341269</v>
      </c>
      <c r="K12" s="22">
        <f>SUM(K4:K11)</f>
        <v>11693880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3.6916746195445821E-3</v>
      </c>
      <c r="D13" s="18">
        <f t="shared" ref="D13:K13" si="3">D12/$K$12</f>
        <v>2.7988913859215248E-2</v>
      </c>
      <c r="E13" s="18">
        <f t="shared" si="3"/>
        <v>0.34325570298309888</v>
      </c>
      <c r="F13" s="18">
        <f t="shared" si="3"/>
        <v>1.939493136580844E-2</v>
      </c>
      <c r="G13" s="18">
        <f t="shared" si="3"/>
        <v>9.7173393262116589E-2</v>
      </c>
      <c r="H13" s="18">
        <f t="shared" si="3"/>
        <v>0.1678926070731015</v>
      </c>
      <c r="I13" s="18">
        <f t="shared" si="3"/>
        <v>5.4874772103014571E-2</v>
      </c>
      <c r="J13" s="18">
        <f t="shared" si="3"/>
        <v>0.2857280047341002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0.39788172992056497</v>
      </c>
      <c r="D16" s="23">
        <v>7.1985878199470402E-2</v>
      </c>
      <c r="E16" s="23">
        <v>0.17804060017652301</v>
      </c>
      <c r="F16" s="23">
        <v>0.102736098852604</v>
      </c>
      <c r="G16" s="23">
        <v>6.8843777581641702E-2</v>
      </c>
      <c r="H16" s="24">
        <v>0.14954986760812</v>
      </c>
      <c r="I16" s="23">
        <v>2.7184466019417501E-3</v>
      </c>
      <c r="J16" s="32">
        <v>2.8243601059134999E-2</v>
      </c>
    </row>
    <row r="17" spans="2:10" ht="29.4" thickBot="1" x14ac:dyDescent="0.35">
      <c r="B17" s="31" t="s">
        <v>11</v>
      </c>
      <c r="C17" s="23">
        <v>0</v>
      </c>
      <c r="D17" s="23">
        <v>0.54498556455361402</v>
      </c>
      <c r="E17" s="23">
        <v>9.9948281167143493E-2</v>
      </c>
      <c r="F17" s="23">
        <v>7.4383465685536401E-2</v>
      </c>
      <c r="G17" s="23">
        <v>9.2039882421488806E-2</v>
      </c>
      <c r="H17" s="24">
        <v>0.115437744273285</v>
      </c>
      <c r="I17" s="23">
        <v>3.3309547034677797E-2</v>
      </c>
      <c r="J17" s="32">
        <v>3.9895514864254397E-2</v>
      </c>
    </row>
    <row r="18" spans="2:10" ht="29.4" thickBot="1" x14ac:dyDescent="0.35">
      <c r="B18" s="31" t="s">
        <v>12</v>
      </c>
      <c r="C18" s="23">
        <v>2.0187395245945101E-3</v>
      </c>
      <c r="D18" s="23">
        <v>5.5683991114479697E-3</v>
      </c>
      <c r="E18" s="23">
        <v>0.87110245920804596</v>
      </c>
      <c r="F18" s="23">
        <v>2.81499172189027E-3</v>
      </c>
      <c r="G18" s="23">
        <v>1.09553672023311E-2</v>
      </c>
      <c r="H18" s="24">
        <v>6.0765848446835503E-2</v>
      </c>
      <c r="I18" s="23">
        <v>2.0039183989709001E-2</v>
      </c>
      <c r="J18" s="32">
        <v>2.6735010795145699E-2</v>
      </c>
    </row>
    <row r="19" spans="2:10" ht="29.4" thickBot="1" x14ac:dyDescent="0.35">
      <c r="B19" s="31" t="s">
        <v>5</v>
      </c>
      <c r="C19" s="23">
        <v>2.2567773188833299E-2</v>
      </c>
      <c r="D19" s="23">
        <v>5.5848833959569001E-2</v>
      </c>
      <c r="E19" s="23">
        <v>8.9067788715337104E-2</v>
      </c>
      <c r="F19" s="23">
        <v>0.313072539825482</v>
      </c>
      <c r="G19" s="23">
        <v>0.36422848802906599</v>
      </c>
      <c r="H19" s="24">
        <v>0.10259137347452101</v>
      </c>
      <c r="I19" s="23">
        <v>1.5534266993758299E-2</v>
      </c>
      <c r="J19" s="32">
        <v>3.7088935813433498E-2</v>
      </c>
    </row>
    <row r="20" spans="2:10" ht="43.8" thickBot="1" x14ac:dyDescent="0.35">
      <c r="B20" s="31" t="s">
        <v>13</v>
      </c>
      <c r="C20" s="23">
        <v>3.6525310670595598E-3</v>
      </c>
      <c r="D20" s="23">
        <v>3.4313703109491001E-2</v>
      </c>
      <c r="E20" s="23">
        <v>4.0617971731235797E-2</v>
      </c>
      <c r="F20" s="23">
        <v>6.1473924124145901E-2</v>
      </c>
      <c r="G20" s="23">
        <v>0.54774908207328599</v>
      </c>
      <c r="H20" s="24">
        <v>0.156284499297344</v>
      </c>
      <c r="I20" s="23">
        <v>3.79771917697517E-2</v>
      </c>
      <c r="J20" s="32">
        <v>0.117931096827685</v>
      </c>
    </row>
    <row r="21" spans="2:10" ht="29.4" thickBot="1" x14ac:dyDescent="0.35">
      <c r="B21" s="33" t="s">
        <v>14</v>
      </c>
      <c r="C21" s="25">
        <v>1.09716413831856E-3</v>
      </c>
      <c r="D21" s="25">
        <v>2.1488010918321299E-2</v>
      </c>
      <c r="E21" s="25">
        <v>0.15107437491124001</v>
      </c>
      <c r="F21" s="25">
        <v>9.8303856019252706E-3</v>
      </c>
      <c r="G21" s="25">
        <v>9.0637037082609798E-2</v>
      </c>
      <c r="H21" s="26">
        <v>0.506565809596905</v>
      </c>
      <c r="I21" s="23">
        <v>6.1928763285811803E-2</v>
      </c>
      <c r="J21" s="32">
        <v>0.15737845446486801</v>
      </c>
    </row>
    <row r="22" spans="2:10" ht="29.4" thickBot="1" x14ac:dyDescent="0.35">
      <c r="B22" s="31" t="s">
        <v>8</v>
      </c>
      <c r="C22" s="23">
        <v>7.98512377727792E-4</v>
      </c>
      <c r="D22" s="23">
        <v>1.9481815766846999E-2</v>
      </c>
      <c r="E22" s="23">
        <v>0.121402175160292</v>
      </c>
      <c r="F22" s="23">
        <v>1.7101997381256701E-3</v>
      </c>
      <c r="G22" s="23">
        <v>7.8725775445115595E-2</v>
      </c>
      <c r="H22" s="23">
        <v>0.28234643176570301</v>
      </c>
      <c r="I22" s="23">
        <v>0.22917619615739501</v>
      </c>
      <c r="J22" s="32">
        <v>0.266358893588794</v>
      </c>
    </row>
    <row r="23" spans="2:10" ht="15" thickBot="1" x14ac:dyDescent="0.35">
      <c r="B23" s="34" t="s">
        <v>9</v>
      </c>
      <c r="C23" s="35">
        <v>7.7034117490826294E-5</v>
      </c>
      <c r="D23" s="35">
        <v>8.2397761641493598E-3</v>
      </c>
      <c r="E23" s="35">
        <v>3.5966597086845603E-2</v>
      </c>
      <c r="F23" s="35">
        <v>5.46223632342602E-3</v>
      </c>
      <c r="G23" s="35">
        <v>4.0495513337537599E-2</v>
      </c>
      <c r="H23" s="35">
        <v>9.0982754130667101E-2</v>
      </c>
      <c r="I23" s="35">
        <v>6.9206531343400296E-2</v>
      </c>
      <c r="J23" s="36">
        <v>0.74956955749648302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1.9275039593359901E-3</v>
      </c>
      <c r="D28">
        <v>3.48729420859458E-4</v>
      </c>
      <c r="E28">
        <v>8.6250243717226401E-4</v>
      </c>
      <c r="F28">
        <v>4.9769623084895697E-4</v>
      </c>
      <c r="G28">
        <v>3.33507783558579E-4</v>
      </c>
      <c r="H28">
        <v>7.2448152366879097E-4</v>
      </c>
      <c r="I28">
        <v>1.3169281709749001E-5</v>
      </c>
      <c r="J28">
        <v>1.36823706075315E-4</v>
      </c>
    </row>
    <row r="29" spans="2:10" x14ac:dyDescent="0.3">
      <c r="B29" t="s">
        <v>11</v>
      </c>
      <c r="C29">
        <v>0</v>
      </c>
      <c r="D29">
        <v>1.4237532794931999E-2</v>
      </c>
      <c r="E29">
        <v>2.6111094008147901E-3</v>
      </c>
      <c r="F29">
        <v>1.94323868553466E-3</v>
      </c>
      <c r="G29">
        <v>2.4045056046410598E-3</v>
      </c>
      <c r="H29">
        <v>3.01576551153253E-3</v>
      </c>
      <c r="I29">
        <v>8.7019877063900105E-4</v>
      </c>
      <c r="J29">
        <v>1.04225458102871E-3</v>
      </c>
    </row>
    <row r="30" spans="2:10" x14ac:dyDescent="0.3">
      <c r="B30" t="s">
        <v>12</v>
      </c>
      <c r="C30">
        <v>6.7556704874686599E-4</v>
      </c>
      <c r="D30">
        <v>1.86345336192949E-3</v>
      </c>
      <c r="E30">
        <v>0.29151265448251601</v>
      </c>
      <c r="F30">
        <v>9.4203121632854098E-4</v>
      </c>
      <c r="G30">
        <v>3.6661912042880501E-3</v>
      </c>
      <c r="H30">
        <v>2.03351667709947E-2</v>
      </c>
      <c r="I30">
        <v>6.7060718940163602E-3</v>
      </c>
      <c r="J30">
        <v>8.9468166254485192E-3</v>
      </c>
    </row>
    <row r="31" spans="2:10" x14ac:dyDescent="0.3">
      <c r="B31" t="s">
        <v>5</v>
      </c>
      <c r="C31">
        <v>4.9718314195117401E-4</v>
      </c>
      <c r="D31">
        <v>1.23038717688227E-3</v>
      </c>
      <c r="E31">
        <v>1.9622229747526098E-3</v>
      </c>
      <c r="F31">
        <v>6.8971975084403097E-3</v>
      </c>
      <c r="G31">
        <v>8.0241972724194206E-3</v>
      </c>
      <c r="H31">
        <v>2.2601565947316E-3</v>
      </c>
      <c r="I31">
        <v>3.4223029482088099E-4</v>
      </c>
      <c r="J31">
        <v>8.1709406971851902E-4</v>
      </c>
    </row>
    <row r="32" spans="2:10" x14ac:dyDescent="0.3">
      <c r="B32" t="s">
        <v>13</v>
      </c>
      <c r="C32">
        <v>3.4205926518828699E-4</v>
      </c>
      <c r="D32">
        <v>3.21347576681136E-3</v>
      </c>
      <c r="E32">
        <v>3.80387005852634E-3</v>
      </c>
      <c r="F32">
        <v>5.7570284627514604E-3</v>
      </c>
      <c r="G32">
        <v>5.1296661159512501E-2</v>
      </c>
      <c r="H32">
        <v>1.46360318388764E-2</v>
      </c>
      <c r="I32">
        <v>3.55656120979521E-3</v>
      </c>
      <c r="J32">
        <v>1.1044238524766801E-2</v>
      </c>
    </row>
    <row r="33" spans="2:10" x14ac:dyDescent="0.3">
      <c r="B33" t="s">
        <v>14</v>
      </c>
      <c r="C33">
        <v>1.8300170687573299E-4</v>
      </c>
      <c r="D33">
        <v>3.58409698064287E-3</v>
      </c>
      <c r="E33">
        <v>2.5198479888625499E-2</v>
      </c>
      <c r="F33">
        <v>1.63966108768005E-3</v>
      </c>
      <c r="G33">
        <v>1.5117822313894099E-2</v>
      </c>
      <c r="H33">
        <v>8.4492743212689E-2</v>
      </c>
      <c r="I33">
        <v>1.0329420175339599E-2</v>
      </c>
      <c r="J33">
        <v>2.6249970069814301E-2</v>
      </c>
    </row>
    <row r="34" spans="2:10" x14ac:dyDescent="0.3">
      <c r="B34" t="s">
        <v>8</v>
      </c>
      <c r="C34">
        <v>4.3441526678912403E-5</v>
      </c>
      <c r="D34">
        <v>1.05987063318591E-3</v>
      </c>
      <c r="E34">
        <v>6.6046513218880297E-3</v>
      </c>
      <c r="F34">
        <v>9.3040120131213899E-5</v>
      </c>
      <c r="G34">
        <v>4.2829240594225403E-3</v>
      </c>
      <c r="H34">
        <v>1.53605133625452E-2</v>
      </c>
      <c r="I34">
        <v>1.2467889186480501E-2</v>
      </c>
      <c r="J34">
        <v>1.44907421659877E-2</v>
      </c>
    </row>
    <row r="35" spans="2:10" x14ac:dyDescent="0.3">
      <c r="B35" t="s">
        <v>9</v>
      </c>
      <c r="C35">
        <v>2.29179707676152E-5</v>
      </c>
      <c r="D35">
        <v>2.4513677239718602E-3</v>
      </c>
      <c r="E35">
        <v>1.0700212418803701E-2</v>
      </c>
      <c r="F35">
        <v>1.6250380540932499E-3</v>
      </c>
      <c r="G35">
        <v>1.2047583864380301E-2</v>
      </c>
      <c r="H35">
        <v>2.7067748258063198E-2</v>
      </c>
      <c r="I35">
        <v>2.0589231290213301E-2</v>
      </c>
      <c r="J35">
        <v>0.22300006499125999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-1.1527397236845299E-3</v>
      </c>
    </row>
    <row r="41" spans="2:10" x14ac:dyDescent="0.3">
      <c r="B41" t="s">
        <v>11</v>
      </c>
      <c r="C41">
        <v>1.8643085100924601E-3</v>
      </c>
    </row>
    <row r="42" spans="2:10" x14ac:dyDescent="0.3">
      <c r="B42" t="s">
        <v>12</v>
      </c>
      <c r="C42">
        <v>8.6077503788306604E-3</v>
      </c>
    </row>
    <row r="43" spans="2:10" x14ac:dyDescent="0.3">
      <c r="B43" t="s">
        <v>5</v>
      </c>
      <c r="C43">
        <v>-2.6357376679083402E-3</v>
      </c>
    </row>
    <row r="44" spans="2:10" x14ac:dyDescent="0.3">
      <c r="B44" t="s">
        <v>13</v>
      </c>
      <c r="C44">
        <v>3.5234669758882299E-3</v>
      </c>
    </row>
    <row r="45" spans="2:10" x14ac:dyDescent="0.3">
      <c r="B45" t="s">
        <v>14</v>
      </c>
      <c r="C45">
        <v>1.09741163754032E-3</v>
      </c>
    </row>
    <row r="46" spans="2:10" x14ac:dyDescent="0.3">
      <c r="B46" t="s">
        <v>8</v>
      </c>
      <c r="C46">
        <v>4.7169972669464799E-4</v>
      </c>
    </row>
    <row r="47" spans="2:10" x14ac:dyDescent="0.3">
      <c r="B47" t="s">
        <v>9</v>
      </c>
      <c r="C47">
        <v>-1.17761598374534E-2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7"/>
  <sheetViews>
    <sheetView topLeftCell="A16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36280</v>
      </c>
      <c r="D4" s="4">
        <v>4602</v>
      </c>
      <c r="E4" s="4">
        <v>10800</v>
      </c>
      <c r="F4" s="4">
        <v>26412</v>
      </c>
      <c r="G4" s="4">
        <v>13266</v>
      </c>
      <c r="H4" s="5">
        <v>9832</v>
      </c>
      <c r="I4" s="4">
        <v>302</v>
      </c>
      <c r="J4" s="4">
        <v>5681</v>
      </c>
      <c r="K4" s="15">
        <f>SUM(C4:J4)</f>
        <v>107175</v>
      </c>
      <c r="L4" s="18">
        <f>K4/$K$12</f>
        <v>4.7294413160727886E-3</v>
      </c>
    </row>
    <row r="5" spans="1:12" ht="29.4" thickBot="1" x14ac:dyDescent="0.35">
      <c r="A5" s="49"/>
      <c r="B5" s="13" t="s">
        <v>11</v>
      </c>
      <c r="C5" s="4">
        <v>2316</v>
      </c>
      <c r="D5" s="4">
        <v>362129</v>
      </c>
      <c r="E5" s="4">
        <v>65957</v>
      </c>
      <c r="F5" s="4">
        <v>31084</v>
      </c>
      <c r="G5" s="4">
        <v>55293</v>
      </c>
      <c r="H5" s="5">
        <v>54946</v>
      </c>
      <c r="I5" s="4">
        <v>19942</v>
      </c>
      <c r="J5" s="4">
        <v>78286</v>
      </c>
      <c r="K5" s="15">
        <f t="shared" ref="K5:K11" si="0">SUM(C5:J5)</f>
        <v>669953</v>
      </c>
      <c r="L5" s="18">
        <f t="shared" ref="L5:L12" si="1">K5/$K$12</f>
        <v>2.9563829232814674E-2</v>
      </c>
    </row>
    <row r="6" spans="1:12" ht="29.4" thickBot="1" x14ac:dyDescent="0.35">
      <c r="A6" s="49"/>
      <c r="B6" s="13" t="s">
        <v>12</v>
      </c>
      <c r="C6" s="4">
        <v>18520</v>
      </c>
      <c r="D6" s="4">
        <v>61450</v>
      </c>
      <c r="E6" s="4">
        <v>6678671</v>
      </c>
      <c r="F6" s="4">
        <v>34698</v>
      </c>
      <c r="G6" s="4">
        <v>110828</v>
      </c>
      <c r="H6" s="5">
        <v>448203</v>
      </c>
      <c r="I6" s="4">
        <v>129500</v>
      </c>
      <c r="J6" s="4">
        <v>273600</v>
      </c>
      <c r="K6" s="15">
        <f t="shared" si="0"/>
        <v>7755470</v>
      </c>
      <c r="L6" s="18">
        <f t="shared" si="1"/>
        <v>0.34223503842839309</v>
      </c>
    </row>
    <row r="7" spans="1:12" ht="29.4" thickBot="1" x14ac:dyDescent="0.35">
      <c r="A7" s="49"/>
      <c r="B7" s="13" t="s">
        <v>5</v>
      </c>
      <c r="C7" s="4">
        <v>14854</v>
      </c>
      <c r="D7" s="4">
        <v>28212</v>
      </c>
      <c r="E7" s="4">
        <v>20070</v>
      </c>
      <c r="F7" s="4">
        <v>146971</v>
      </c>
      <c r="G7" s="4">
        <v>85521</v>
      </c>
      <c r="H7" s="5">
        <v>46980</v>
      </c>
      <c r="I7" s="4">
        <v>9092</v>
      </c>
      <c r="J7" s="4">
        <v>23056</v>
      </c>
      <c r="K7" s="15">
        <f t="shared" si="0"/>
        <v>374756</v>
      </c>
      <c r="L7" s="18">
        <f t="shared" si="1"/>
        <v>1.6537312898028216E-2</v>
      </c>
    </row>
    <row r="8" spans="1:12" ht="43.8" thickBot="1" x14ac:dyDescent="0.35">
      <c r="A8" s="49"/>
      <c r="B8" s="13" t="s">
        <v>13</v>
      </c>
      <c r="C8" s="4">
        <v>9752</v>
      </c>
      <c r="D8" s="4">
        <v>83239</v>
      </c>
      <c r="E8" s="4">
        <v>76432</v>
      </c>
      <c r="F8" s="4">
        <v>99491</v>
      </c>
      <c r="G8" s="4">
        <v>1167517</v>
      </c>
      <c r="H8" s="5">
        <v>301470</v>
      </c>
      <c r="I8" s="4">
        <v>69488</v>
      </c>
      <c r="J8" s="4">
        <v>302872</v>
      </c>
      <c r="K8" s="15">
        <f t="shared" si="0"/>
        <v>2110261</v>
      </c>
      <c r="L8" s="18">
        <f t="shared" si="1"/>
        <v>9.3122048622319376E-2</v>
      </c>
    </row>
    <row r="9" spans="1:12" ht="29.4" thickBot="1" x14ac:dyDescent="0.35">
      <c r="A9" s="49"/>
      <c r="B9" s="8" t="s">
        <v>14</v>
      </c>
      <c r="C9" s="6">
        <v>9298</v>
      </c>
      <c r="D9" s="6">
        <v>80832</v>
      </c>
      <c r="E9" s="6">
        <v>542103</v>
      </c>
      <c r="F9" s="6">
        <v>25478</v>
      </c>
      <c r="G9" s="6">
        <v>323155</v>
      </c>
      <c r="H9" s="7">
        <v>1976275</v>
      </c>
      <c r="I9" s="4">
        <v>233257</v>
      </c>
      <c r="J9" s="4">
        <v>562671</v>
      </c>
      <c r="K9" s="15">
        <f t="shared" si="0"/>
        <v>3753069</v>
      </c>
      <c r="L9" s="18">
        <f t="shared" si="1"/>
        <v>0.16561623131021211</v>
      </c>
    </row>
    <row r="10" spans="1:12" ht="29.4" thickBot="1" x14ac:dyDescent="0.35">
      <c r="A10" s="49"/>
      <c r="B10" s="13" t="s">
        <v>8</v>
      </c>
      <c r="C10" s="4">
        <v>0</v>
      </c>
      <c r="D10" s="4">
        <v>19108</v>
      </c>
      <c r="E10" s="4">
        <v>152288</v>
      </c>
      <c r="F10" s="4">
        <v>3556</v>
      </c>
      <c r="G10" s="4">
        <v>94739</v>
      </c>
      <c r="H10" s="4">
        <v>247857</v>
      </c>
      <c r="I10" s="4">
        <v>252619</v>
      </c>
      <c r="J10" s="4">
        <v>340459</v>
      </c>
      <c r="K10" s="15">
        <f t="shared" si="0"/>
        <v>1110626</v>
      </c>
      <c r="L10" s="18">
        <f t="shared" si="1"/>
        <v>4.9009941601163114E-2</v>
      </c>
    </row>
    <row r="11" spans="1:12" ht="15" thickBot="1" x14ac:dyDescent="0.35">
      <c r="A11" s="49"/>
      <c r="B11" s="13" t="s">
        <v>9</v>
      </c>
      <c r="C11" s="4">
        <v>820</v>
      </c>
      <c r="D11" s="4">
        <v>94986</v>
      </c>
      <c r="E11" s="4">
        <v>294089</v>
      </c>
      <c r="F11" s="4">
        <v>16634</v>
      </c>
      <c r="G11" s="4">
        <v>260417</v>
      </c>
      <c r="H11" s="4">
        <v>617695</v>
      </c>
      <c r="I11" s="4">
        <v>380816</v>
      </c>
      <c r="J11" s="4">
        <v>5114472</v>
      </c>
      <c r="K11" s="15">
        <f t="shared" si="0"/>
        <v>6779929</v>
      </c>
      <c r="L11" s="18">
        <f t="shared" si="1"/>
        <v>0.29918615659099662</v>
      </c>
    </row>
    <row r="12" spans="1:12" ht="15" thickBot="1" x14ac:dyDescent="0.35">
      <c r="A12" s="50"/>
      <c r="B12" s="20" t="s">
        <v>18</v>
      </c>
      <c r="C12" s="21">
        <f>SUM(C4:C11)</f>
        <v>91840</v>
      </c>
      <c r="D12" s="21">
        <f t="shared" ref="D12:J12" si="2">SUM(D4:D11)</f>
        <v>734558</v>
      </c>
      <c r="E12" s="21">
        <f t="shared" si="2"/>
        <v>7840410</v>
      </c>
      <c r="F12" s="21">
        <f t="shared" si="2"/>
        <v>384324</v>
      </c>
      <c r="G12" s="21">
        <f t="shared" si="2"/>
        <v>2110736</v>
      </c>
      <c r="H12" s="21">
        <f t="shared" si="2"/>
        <v>3703258</v>
      </c>
      <c r="I12" s="21">
        <f t="shared" si="2"/>
        <v>1095016</v>
      </c>
      <c r="J12" s="21">
        <f t="shared" si="2"/>
        <v>6701097</v>
      </c>
      <c r="K12" s="22">
        <f>SUM(K4:K11)</f>
        <v>22661239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4.0527351571553521E-3</v>
      </c>
      <c r="D13" s="18">
        <f t="shared" ref="D13:K13" si="3">D12/$K$12</f>
        <v>3.2414732486604106E-2</v>
      </c>
      <c r="E13" s="18">
        <f t="shared" si="3"/>
        <v>0.34598328891019597</v>
      </c>
      <c r="F13" s="18">
        <f t="shared" si="3"/>
        <v>1.6959531647850322E-2</v>
      </c>
      <c r="G13" s="18">
        <f t="shared" si="3"/>
        <v>9.3143009523883491E-2</v>
      </c>
      <c r="H13" s="18">
        <f t="shared" si="3"/>
        <v>0.16341816085166394</v>
      </c>
      <c r="I13" s="18">
        <f t="shared" si="3"/>
        <v>4.8321100183445397E-2</v>
      </c>
      <c r="J13" s="18">
        <f t="shared" si="3"/>
        <v>0.29570744123920145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0.33851177979939401</v>
      </c>
      <c r="D16" s="23">
        <v>4.2939118264520598E-2</v>
      </c>
      <c r="E16" s="23">
        <v>0.10076976906927899</v>
      </c>
      <c r="F16" s="23">
        <v>0.24643806857942599</v>
      </c>
      <c r="G16" s="23">
        <v>0.12377886634009801</v>
      </c>
      <c r="H16" s="24">
        <v>9.1737811989736406E-2</v>
      </c>
      <c r="I16" s="23">
        <v>2.8178213202705899E-3</v>
      </c>
      <c r="J16" s="32">
        <v>5.3006764637275501E-2</v>
      </c>
    </row>
    <row r="17" spans="2:10" ht="29.4" thickBot="1" x14ac:dyDescent="0.35">
      <c r="B17" s="31" t="s">
        <v>11</v>
      </c>
      <c r="C17" s="23">
        <v>3.4569589209989399E-3</v>
      </c>
      <c r="D17" s="23">
        <v>0.54052896247945703</v>
      </c>
      <c r="E17" s="23">
        <v>9.8450189789432999E-2</v>
      </c>
      <c r="F17" s="23">
        <v>4.63972845856351E-2</v>
      </c>
      <c r="G17" s="23">
        <v>8.2532655275817907E-2</v>
      </c>
      <c r="H17" s="24">
        <v>8.2014708494476493E-2</v>
      </c>
      <c r="I17" s="23">
        <v>2.9766267185907101E-2</v>
      </c>
      <c r="J17" s="32">
        <v>0.116852973268274</v>
      </c>
    </row>
    <row r="18" spans="2:10" ht="29.4" thickBot="1" x14ac:dyDescent="0.35">
      <c r="B18" s="31" t="s">
        <v>12</v>
      </c>
      <c r="C18" s="23">
        <v>2.3879919592236201E-3</v>
      </c>
      <c r="D18" s="23">
        <v>7.9234398431042904E-3</v>
      </c>
      <c r="E18" s="23">
        <v>0.86115619040496605</v>
      </c>
      <c r="F18" s="23">
        <v>4.4740035097808398E-3</v>
      </c>
      <c r="G18" s="23">
        <v>1.4290300910196301E-2</v>
      </c>
      <c r="H18" s="24">
        <v>5.7791855296970999E-2</v>
      </c>
      <c r="I18" s="23">
        <v>1.6697891939495599E-2</v>
      </c>
      <c r="J18" s="32">
        <v>3.52783261362625E-2</v>
      </c>
    </row>
    <row r="19" spans="2:10" ht="29.4" thickBot="1" x14ac:dyDescent="0.35">
      <c r="B19" s="31" t="s">
        <v>5</v>
      </c>
      <c r="C19" s="23">
        <v>3.9636456787883301E-2</v>
      </c>
      <c r="D19" s="23">
        <v>7.5280982826158901E-2</v>
      </c>
      <c r="E19" s="23">
        <v>5.3554846353360601E-2</v>
      </c>
      <c r="F19" s="23">
        <v>0.392177843716979</v>
      </c>
      <c r="G19" s="23">
        <v>0.22820448505160701</v>
      </c>
      <c r="H19" s="24">
        <v>0.12536156859396499</v>
      </c>
      <c r="I19" s="23">
        <v>2.4261119234915501E-2</v>
      </c>
      <c r="J19" s="32">
        <v>6.1522697435131099E-2</v>
      </c>
    </row>
    <row r="20" spans="2:10" ht="43.8" thickBot="1" x14ac:dyDescent="0.35">
      <c r="B20" s="31" t="s">
        <v>13</v>
      </c>
      <c r="C20" s="23">
        <v>4.62122931713186E-3</v>
      </c>
      <c r="D20" s="23">
        <v>3.9444883831905198E-2</v>
      </c>
      <c r="E20" s="23">
        <v>3.6219216485543701E-2</v>
      </c>
      <c r="F20" s="23">
        <v>4.7146300860414901E-2</v>
      </c>
      <c r="G20" s="23">
        <v>0.55325715634227202</v>
      </c>
      <c r="H20" s="24">
        <v>0.142859106053706</v>
      </c>
      <c r="I20" s="23">
        <v>3.2928628259727102E-2</v>
      </c>
      <c r="J20" s="32">
        <v>0.143523478849299</v>
      </c>
    </row>
    <row r="21" spans="2:10" ht="29.4" thickBot="1" x14ac:dyDescent="0.35">
      <c r="B21" s="33" t="s">
        <v>14</v>
      </c>
      <c r="C21" s="25">
        <v>2.47743913048228E-3</v>
      </c>
      <c r="D21" s="25">
        <v>2.1537573649725101E-2</v>
      </c>
      <c r="E21" s="25">
        <v>0.144442588185829</v>
      </c>
      <c r="F21" s="25">
        <v>6.7885775614570402E-3</v>
      </c>
      <c r="G21" s="25">
        <v>8.6104198990213099E-2</v>
      </c>
      <c r="H21" s="26">
        <v>0.52657571709979201</v>
      </c>
      <c r="I21" s="23">
        <v>6.2151002286395501E-2</v>
      </c>
      <c r="J21" s="32">
        <v>0.14992290309610601</v>
      </c>
    </row>
    <row r="22" spans="2:10" ht="29.4" thickBot="1" x14ac:dyDescent="0.35">
      <c r="B22" s="31" t="s">
        <v>8</v>
      </c>
      <c r="C22" s="23">
        <v>0</v>
      </c>
      <c r="D22" s="23">
        <v>1.7204711577074601E-2</v>
      </c>
      <c r="E22" s="23">
        <v>0.13711906618429601</v>
      </c>
      <c r="F22" s="23">
        <v>3.2017979049653099E-3</v>
      </c>
      <c r="G22" s="23">
        <v>8.5302343002955097E-2</v>
      </c>
      <c r="H22" s="23">
        <v>0.22316873546990601</v>
      </c>
      <c r="I22" s="23">
        <v>0.22745640746750001</v>
      </c>
      <c r="J22" s="32">
        <v>0.30654693839330199</v>
      </c>
    </row>
    <row r="23" spans="2:10" ht="15" thickBot="1" x14ac:dyDescent="0.35">
      <c r="B23" s="34" t="s">
        <v>9</v>
      </c>
      <c r="C23" s="35">
        <v>1.20945219337843E-4</v>
      </c>
      <c r="D23" s="35">
        <v>1.4009881224419899E-2</v>
      </c>
      <c r="E23" s="35">
        <v>4.3376412938837601E-2</v>
      </c>
      <c r="F23" s="35">
        <v>2.45341802251911E-3</v>
      </c>
      <c r="G23" s="35">
        <v>3.8409989249149998E-2</v>
      </c>
      <c r="H23" s="35">
        <v>9.1106411291327696E-2</v>
      </c>
      <c r="I23" s="35">
        <v>5.6168139813853497E-2</v>
      </c>
      <c r="J23" s="36">
        <v>0.75435480224055396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1.6009715973605901E-3</v>
      </c>
      <c r="D28">
        <v>2.0307803999596E-4</v>
      </c>
      <c r="E28">
        <v>4.7658470924736299E-4</v>
      </c>
      <c r="F28">
        <v>1.16551438339272E-3</v>
      </c>
      <c r="G28">
        <v>5.8540488452551098E-4</v>
      </c>
      <c r="H28">
        <v>4.3386859827037699E-4</v>
      </c>
      <c r="I28">
        <v>1.33267205733985E-5</v>
      </c>
      <c r="J28">
        <v>2.5069238270687699E-4</v>
      </c>
    </row>
    <row r="29" spans="2:10" x14ac:dyDescent="0.3">
      <c r="B29" t="s">
        <v>11</v>
      </c>
      <c r="C29">
        <v>1.02200943205268E-4</v>
      </c>
      <c r="D29">
        <v>1.5980105942133199E-2</v>
      </c>
      <c r="E29">
        <v>2.9105645988729899E-3</v>
      </c>
      <c r="F29">
        <v>1.3716813983560201E-3</v>
      </c>
      <c r="G29">
        <v>2.4399813267050401E-3</v>
      </c>
      <c r="H29">
        <v>2.4246688365097799E-3</v>
      </c>
      <c r="I29">
        <v>8.8000483998249197E-4</v>
      </c>
      <c r="J29">
        <v>3.4546213470499098E-3</v>
      </c>
    </row>
    <row r="30" spans="2:10" x14ac:dyDescent="0.3">
      <c r="B30" t="s">
        <v>12</v>
      </c>
      <c r="C30">
        <v>8.17254519931589E-4</v>
      </c>
      <c r="D30">
        <v>2.7116787391898598E-3</v>
      </c>
      <c r="E30">
        <v>0.29471782191609203</v>
      </c>
      <c r="F30">
        <v>1.5311607630986101E-3</v>
      </c>
      <c r="G30">
        <v>4.8906416811543302E-3</v>
      </c>
      <c r="H30">
        <v>1.9778397818407002E-2</v>
      </c>
      <c r="I30">
        <v>5.71460368958643E-3</v>
      </c>
      <c r="J30">
        <v>1.20734793009332E-2</v>
      </c>
    </row>
    <row r="31" spans="2:10" x14ac:dyDescent="0.3">
      <c r="B31" t="s">
        <v>5</v>
      </c>
      <c r="C31">
        <v>6.5548048807040099E-4</v>
      </c>
      <c r="D31">
        <v>1.24494516826728E-3</v>
      </c>
      <c r="E31">
        <v>8.8565325135134905E-4</v>
      </c>
      <c r="F31">
        <v>6.4855677132216799E-3</v>
      </c>
      <c r="G31">
        <v>3.77388897403183E-3</v>
      </c>
      <c r="H31">
        <v>2.0731434852260299E-3</v>
      </c>
      <c r="I31">
        <v>4.0121372004416902E-4</v>
      </c>
      <c r="J31">
        <v>1.0174200978154801E-3</v>
      </c>
    </row>
    <row r="32" spans="2:10" x14ac:dyDescent="0.3">
      <c r="B32" t="s">
        <v>13</v>
      </c>
      <c r="C32">
        <v>4.3033834116484101E-4</v>
      </c>
      <c r="D32">
        <v>3.67318839009641E-3</v>
      </c>
      <c r="E32">
        <v>3.3728076386291099E-3</v>
      </c>
      <c r="F32">
        <v>4.3903601210860503E-3</v>
      </c>
      <c r="G32">
        <v>5.15204398135512E-2</v>
      </c>
      <c r="H32">
        <v>1.33033326200743E-2</v>
      </c>
      <c r="I32">
        <v>3.0663813218685899E-3</v>
      </c>
      <c r="J32">
        <v>1.3365200375848801E-2</v>
      </c>
    </row>
    <row r="33" spans="2:10" x14ac:dyDescent="0.3">
      <c r="B33" t="s">
        <v>14</v>
      </c>
      <c r="C33">
        <v>4.1030413209092398E-4</v>
      </c>
      <c r="D33">
        <v>3.5669717794336001E-3</v>
      </c>
      <c r="E33">
        <v>2.3922037096029899E-2</v>
      </c>
      <c r="F33">
        <v>1.1242986316855801E-3</v>
      </c>
      <c r="G33">
        <v>1.4260252936743699E-2</v>
      </c>
      <c r="H33">
        <v>8.7209485765539996E-2</v>
      </c>
      <c r="I33">
        <v>1.0293214770825201E-2</v>
      </c>
      <c r="J33">
        <v>2.4829666197863198E-2</v>
      </c>
    </row>
    <row r="34" spans="2:10" x14ac:dyDescent="0.3">
      <c r="B34" t="s">
        <v>8</v>
      </c>
      <c r="C34">
        <v>0</v>
      </c>
      <c r="D34">
        <v>8.4320190965727899E-4</v>
      </c>
      <c r="E34">
        <v>6.7201974260983699E-3</v>
      </c>
      <c r="F34">
        <v>1.5691992834107599E-4</v>
      </c>
      <c r="G34">
        <v>4.1806628490172098E-3</v>
      </c>
      <c r="H34">
        <v>1.0937486692585501E-2</v>
      </c>
      <c r="I34">
        <v>1.11476252467926E-2</v>
      </c>
      <c r="J34">
        <v>1.50238475486711E-2</v>
      </c>
    </row>
    <row r="35" spans="2:10" x14ac:dyDescent="0.3">
      <c r="B35" t="s">
        <v>9</v>
      </c>
      <c r="C35">
        <v>3.6185135331744197E-5</v>
      </c>
      <c r="D35">
        <v>4.1915625178305599E-3</v>
      </c>
      <c r="E35">
        <v>1.2977622273874801E-2</v>
      </c>
      <c r="F35">
        <v>7.3402870866857701E-4</v>
      </c>
      <c r="G35">
        <v>1.14917370581547E-2</v>
      </c>
      <c r="H35">
        <v>2.72577770350509E-2</v>
      </c>
      <c r="I35">
        <v>1.68047298737726E-2</v>
      </c>
      <c r="J35">
        <v>0.225692513988313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-6.7670615891743705E-4</v>
      </c>
    </row>
    <row r="41" spans="2:10" x14ac:dyDescent="0.3">
      <c r="B41" t="s">
        <v>11</v>
      </c>
      <c r="C41">
        <v>2.8509032537894301E-3</v>
      </c>
    </row>
    <row r="42" spans="2:10" x14ac:dyDescent="0.3">
      <c r="B42" t="s">
        <v>12</v>
      </c>
      <c r="C42">
        <v>3.74825048180288E-3</v>
      </c>
    </row>
    <row r="43" spans="2:10" x14ac:dyDescent="0.3">
      <c r="B43" t="s">
        <v>5</v>
      </c>
      <c r="C43">
        <v>4.2221874982210602E-4</v>
      </c>
    </row>
    <row r="44" spans="2:10" x14ac:dyDescent="0.3">
      <c r="B44" t="s">
        <v>13</v>
      </c>
      <c r="C44">
        <v>2.09609015641155E-5</v>
      </c>
    </row>
    <row r="45" spans="2:10" x14ac:dyDescent="0.3">
      <c r="B45" t="s">
        <v>14</v>
      </c>
      <c r="C45">
        <v>-2.1980704585481698E-3</v>
      </c>
    </row>
    <row r="46" spans="2:10" x14ac:dyDescent="0.3">
      <c r="B46" t="s">
        <v>8</v>
      </c>
      <c r="C46">
        <v>-6.8884141771771701E-4</v>
      </c>
    </row>
    <row r="47" spans="2:10" x14ac:dyDescent="0.3">
      <c r="B47" t="s">
        <v>9</v>
      </c>
      <c r="C47">
        <v>-3.4787153517951701E-3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7"/>
  <sheetViews>
    <sheetView topLeftCell="A9" workbookViewId="0">
      <selection activeCell="B15" sqref="B15:J23"/>
    </sheetView>
  </sheetViews>
  <sheetFormatPr baseColWidth="10" defaultRowHeight="14.4" x14ac:dyDescent="0.3"/>
  <cols>
    <col min="1" max="1" width="1.6640625" bestFit="1" customWidth="1"/>
    <col min="2" max="2" width="42.109375" bestFit="1" customWidth="1"/>
    <col min="3" max="3" width="15.109375" bestFit="1" customWidth="1"/>
    <col min="4" max="4" width="13.33203125" bestFit="1" customWidth="1"/>
    <col min="5" max="5" width="18.21875" bestFit="1" customWidth="1"/>
    <col min="6" max="6" width="15.77734375" bestFit="1" customWidth="1"/>
    <col min="7" max="7" width="22.21875" bestFit="1" customWidth="1"/>
    <col min="8" max="8" width="19.6640625" bestFit="1" customWidth="1"/>
    <col min="9" max="10" width="12" bestFit="1" customWidth="1"/>
    <col min="11" max="11" width="10.109375" bestFit="1" customWidth="1"/>
    <col min="12" max="12" width="11" bestFit="1" customWidth="1"/>
  </cols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29.4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86484</v>
      </c>
      <c r="D4" s="4">
        <v>20278</v>
      </c>
      <c r="E4" s="4">
        <v>34776</v>
      </c>
      <c r="F4" s="4">
        <v>24530</v>
      </c>
      <c r="G4" s="4">
        <v>18038</v>
      </c>
      <c r="H4" s="5">
        <v>16194</v>
      </c>
      <c r="I4" s="4">
        <v>6266</v>
      </c>
      <c r="J4" s="4">
        <v>3282</v>
      </c>
      <c r="K4" s="15">
        <f>SUM(C4:J4)</f>
        <v>209848</v>
      </c>
      <c r="L4" s="18">
        <f>K4/$K$12</f>
        <v>6.1226353520862529E-3</v>
      </c>
    </row>
    <row r="5" spans="1:12" ht="15" thickBot="1" x14ac:dyDescent="0.35">
      <c r="A5" s="49"/>
      <c r="B5" s="13" t="s">
        <v>11</v>
      </c>
      <c r="C5" s="4">
        <v>7148</v>
      </c>
      <c r="D5" s="4">
        <v>556947</v>
      </c>
      <c r="E5" s="4">
        <v>74671</v>
      </c>
      <c r="F5" s="4">
        <v>62113</v>
      </c>
      <c r="G5" s="4">
        <v>109704</v>
      </c>
      <c r="H5" s="5">
        <v>80484</v>
      </c>
      <c r="I5" s="4">
        <v>35452</v>
      </c>
      <c r="J5" s="4">
        <v>85964</v>
      </c>
      <c r="K5" s="15">
        <f t="shared" ref="K5:K11" si="0">SUM(C5:J5)</f>
        <v>1012483</v>
      </c>
      <c r="L5" s="18">
        <f t="shared" ref="L5:L12" si="1">K5/$K$12</f>
        <v>2.9540735242586755E-2</v>
      </c>
    </row>
    <row r="6" spans="1:12" ht="15" thickBot="1" x14ac:dyDescent="0.35">
      <c r="A6" s="49"/>
      <c r="B6" s="13" t="s">
        <v>12</v>
      </c>
      <c r="C6" s="4">
        <v>45551</v>
      </c>
      <c r="D6" s="4">
        <v>93366</v>
      </c>
      <c r="E6" s="4">
        <v>9690790</v>
      </c>
      <c r="F6" s="4">
        <v>38190</v>
      </c>
      <c r="G6" s="4">
        <v>179325</v>
      </c>
      <c r="H6" s="5">
        <v>638276</v>
      </c>
      <c r="I6" s="4">
        <v>169798</v>
      </c>
      <c r="J6" s="4">
        <v>399429</v>
      </c>
      <c r="K6" s="15">
        <f t="shared" si="0"/>
        <v>11254725</v>
      </c>
      <c r="L6" s="18">
        <f t="shared" si="1"/>
        <v>0.32837376178476302</v>
      </c>
    </row>
    <row r="7" spans="1:12" ht="15" thickBot="1" x14ac:dyDescent="0.35">
      <c r="A7" s="49"/>
      <c r="B7" s="13" t="s">
        <v>5</v>
      </c>
      <c r="C7" s="4">
        <v>31217</v>
      </c>
      <c r="D7" s="4">
        <v>40174</v>
      </c>
      <c r="E7" s="4">
        <v>25763</v>
      </c>
      <c r="F7" s="4">
        <v>171316</v>
      </c>
      <c r="G7" s="4">
        <v>168244</v>
      </c>
      <c r="H7" s="5">
        <v>38383</v>
      </c>
      <c r="I7" s="4">
        <v>2739</v>
      </c>
      <c r="J7" s="4">
        <v>17187</v>
      </c>
      <c r="K7" s="15">
        <f t="shared" si="0"/>
        <v>495023</v>
      </c>
      <c r="L7" s="18">
        <f t="shared" si="1"/>
        <v>1.4443050779115327E-2</v>
      </c>
    </row>
    <row r="8" spans="1:12" ht="15" thickBot="1" x14ac:dyDescent="0.35">
      <c r="A8" s="49"/>
      <c r="B8" s="13" t="s">
        <v>13</v>
      </c>
      <c r="C8" s="4">
        <v>11442</v>
      </c>
      <c r="D8" s="4">
        <v>78976</v>
      </c>
      <c r="E8" s="4">
        <v>168918</v>
      </c>
      <c r="F8" s="4">
        <v>168996</v>
      </c>
      <c r="G8" s="4">
        <v>1961820</v>
      </c>
      <c r="H8" s="5">
        <v>511072</v>
      </c>
      <c r="I8" s="4">
        <v>181834</v>
      </c>
      <c r="J8" s="4">
        <v>418985</v>
      </c>
      <c r="K8" s="15">
        <f t="shared" si="0"/>
        <v>3502043</v>
      </c>
      <c r="L8" s="18">
        <f t="shared" si="1"/>
        <v>0.10217744403723741</v>
      </c>
    </row>
    <row r="9" spans="1:12" ht="15" thickBot="1" x14ac:dyDescent="0.35">
      <c r="A9" s="49"/>
      <c r="B9" s="8" t="s">
        <v>14</v>
      </c>
      <c r="C9" s="6">
        <v>13194</v>
      </c>
      <c r="D9" s="6">
        <v>105932</v>
      </c>
      <c r="E9" s="6">
        <v>780634</v>
      </c>
      <c r="F9" s="6">
        <v>50776</v>
      </c>
      <c r="G9" s="6">
        <v>577789</v>
      </c>
      <c r="H9" s="7">
        <v>2992308</v>
      </c>
      <c r="I9" s="4">
        <v>397967</v>
      </c>
      <c r="J9" s="4">
        <v>722571</v>
      </c>
      <c r="K9" s="15">
        <f t="shared" si="0"/>
        <v>5641171</v>
      </c>
      <c r="L9" s="18">
        <f t="shared" si="1"/>
        <v>0.16458976493349356</v>
      </c>
    </row>
    <row r="10" spans="1:12" ht="15" thickBot="1" x14ac:dyDescent="0.35">
      <c r="A10" s="49"/>
      <c r="B10" s="13" t="s">
        <v>8</v>
      </c>
      <c r="C10" s="4">
        <v>846</v>
      </c>
      <c r="D10" s="4">
        <v>36147</v>
      </c>
      <c r="E10" s="4">
        <v>270899</v>
      </c>
      <c r="F10" s="4">
        <v>9522</v>
      </c>
      <c r="G10" s="4">
        <v>223250</v>
      </c>
      <c r="H10" s="4">
        <v>494111</v>
      </c>
      <c r="I10" s="4">
        <v>482486</v>
      </c>
      <c r="J10" s="4">
        <v>598663</v>
      </c>
      <c r="K10" s="15">
        <f t="shared" si="0"/>
        <v>2115924</v>
      </c>
      <c r="L10" s="18">
        <f t="shared" si="1"/>
        <v>6.1735308817466701E-2</v>
      </c>
    </row>
    <row r="11" spans="1:12" ht="15" thickBot="1" x14ac:dyDescent="0.35">
      <c r="A11" s="49"/>
      <c r="B11" s="13" t="s">
        <v>9</v>
      </c>
      <c r="C11" s="4">
        <v>4886</v>
      </c>
      <c r="D11" s="4">
        <v>105009</v>
      </c>
      <c r="E11" s="4">
        <v>399290</v>
      </c>
      <c r="F11" s="4">
        <v>33042</v>
      </c>
      <c r="G11" s="4">
        <v>449525</v>
      </c>
      <c r="H11" s="4">
        <v>990645</v>
      </c>
      <c r="I11" s="4">
        <v>665789</v>
      </c>
      <c r="J11" s="4">
        <v>7394727</v>
      </c>
      <c r="K11" s="15">
        <f t="shared" si="0"/>
        <v>10042913</v>
      </c>
      <c r="L11" s="18">
        <f t="shared" si="1"/>
        <v>0.29301729905325097</v>
      </c>
    </row>
    <row r="12" spans="1:12" ht="15" thickBot="1" x14ac:dyDescent="0.35">
      <c r="A12" s="50"/>
      <c r="B12" s="20" t="s">
        <v>18</v>
      </c>
      <c r="C12" s="21">
        <f>SUM(C4:C11)</f>
        <v>200768</v>
      </c>
      <c r="D12" s="21">
        <f t="shared" ref="D12:J12" si="2">SUM(D4:D11)</f>
        <v>1036829</v>
      </c>
      <c r="E12" s="21">
        <f t="shared" si="2"/>
        <v>11445741</v>
      </c>
      <c r="F12" s="21">
        <f t="shared" si="2"/>
        <v>558485</v>
      </c>
      <c r="G12" s="21">
        <f t="shared" si="2"/>
        <v>3687695</v>
      </c>
      <c r="H12" s="21">
        <f t="shared" si="2"/>
        <v>5761473</v>
      </c>
      <c r="I12" s="21">
        <f t="shared" si="2"/>
        <v>1942331</v>
      </c>
      <c r="J12" s="21">
        <f t="shared" si="2"/>
        <v>9640808</v>
      </c>
      <c r="K12" s="22">
        <f>SUM(K4:K11)</f>
        <v>34274130</v>
      </c>
      <c r="L12" s="18">
        <f t="shared" si="1"/>
        <v>1</v>
      </c>
    </row>
    <row r="13" spans="1:12" x14ac:dyDescent="0.3">
      <c r="A13" s="11"/>
      <c r="B13" s="17" t="s">
        <v>22</v>
      </c>
      <c r="C13" s="18">
        <f>C12/$K$12</f>
        <v>5.8577125079469555E-3</v>
      </c>
      <c r="D13" s="18">
        <f t="shared" ref="D13:K13" si="3">D12/$K$12</f>
        <v>3.0251066912566418E-2</v>
      </c>
      <c r="E13" s="18">
        <f t="shared" si="3"/>
        <v>0.33394694482398241</v>
      </c>
      <c r="F13" s="18">
        <f t="shared" si="3"/>
        <v>1.6294651388671279E-2</v>
      </c>
      <c r="G13" s="18">
        <f t="shared" si="3"/>
        <v>0.10759412419804674</v>
      </c>
      <c r="H13" s="18">
        <f t="shared" si="3"/>
        <v>0.16809975920614179</v>
      </c>
      <c r="I13" s="18">
        <f t="shared" si="3"/>
        <v>5.6670468367833113E-2</v>
      </c>
      <c r="J13" s="18">
        <f t="shared" si="3"/>
        <v>0.28128527259481129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29.4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0.41212687278410998</v>
      </c>
      <c r="D16" s="23">
        <v>9.6631847813655594E-2</v>
      </c>
      <c r="E16" s="23">
        <v>0.16571994967786199</v>
      </c>
      <c r="F16" s="23">
        <v>0.11689413289619199</v>
      </c>
      <c r="G16" s="23">
        <v>8.5957454919751403E-2</v>
      </c>
      <c r="H16" s="24">
        <v>7.7170142198162497E-2</v>
      </c>
      <c r="I16" s="23">
        <v>2.98597079791087E-2</v>
      </c>
      <c r="J16" s="32">
        <v>1.56398917311578E-2</v>
      </c>
    </row>
    <row r="17" spans="2:10" ht="15" thickBot="1" x14ac:dyDescent="0.35">
      <c r="B17" s="31" t="s">
        <v>11</v>
      </c>
      <c r="C17" s="23">
        <v>7.0598716225358802E-3</v>
      </c>
      <c r="D17" s="23">
        <v>0.55008034702804898</v>
      </c>
      <c r="E17" s="23">
        <v>7.3750374080354897E-2</v>
      </c>
      <c r="F17" s="23">
        <v>6.1347202866615998E-2</v>
      </c>
      <c r="G17" s="23">
        <v>0.10835144886383299</v>
      </c>
      <c r="H17" s="24">
        <v>7.9491705045911895E-2</v>
      </c>
      <c r="I17" s="23">
        <v>3.50149088922974E-2</v>
      </c>
      <c r="J17" s="32">
        <v>8.4904141600402203E-2</v>
      </c>
    </row>
    <row r="18" spans="2:10" ht="15" thickBot="1" x14ac:dyDescent="0.35">
      <c r="B18" s="31" t="s">
        <v>12</v>
      </c>
      <c r="C18" s="23">
        <v>4.0472779210509397E-3</v>
      </c>
      <c r="D18" s="23">
        <v>8.2957157993642696E-3</v>
      </c>
      <c r="E18" s="23">
        <v>0.86104191795001594</v>
      </c>
      <c r="F18" s="23">
        <v>3.3932415052344701E-3</v>
      </c>
      <c r="G18" s="23">
        <v>1.59333080106355E-2</v>
      </c>
      <c r="H18" s="24">
        <v>5.6711825477743803E-2</v>
      </c>
      <c r="I18" s="23">
        <v>1.50868190915371E-2</v>
      </c>
      <c r="J18" s="32">
        <v>3.54898942444173E-2</v>
      </c>
    </row>
    <row r="19" spans="2:10" ht="15" thickBot="1" x14ac:dyDescent="0.35">
      <c r="B19" s="31" t="s">
        <v>5</v>
      </c>
      <c r="C19" s="23">
        <v>6.3061716324292E-2</v>
      </c>
      <c r="D19" s="23">
        <v>8.1155825082874902E-2</v>
      </c>
      <c r="E19" s="23">
        <v>5.2044046438246297E-2</v>
      </c>
      <c r="F19" s="23">
        <v>0.34607684895449298</v>
      </c>
      <c r="G19" s="23">
        <v>0.33987107669744598</v>
      </c>
      <c r="H19" s="24">
        <v>7.7537811374421006E-2</v>
      </c>
      <c r="I19" s="23">
        <v>5.5330762409019404E-3</v>
      </c>
      <c r="J19" s="32">
        <v>3.4719598887324399E-2</v>
      </c>
    </row>
    <row r="20" spans="2:10" ht="15" thickBot="1" x14ac:dyDescent="0.35">
      <c r="B20" s="31" t="s">
        <v>13</v>
      </c>
      <c r="C20" s="23">
        <v>3.2672357249753899E-3</v>
      </c>
      <c r="D20" s="23">
        <v>2.2551407849646599E-2</v>
      </c>
      <c r="E20" s="23">
        <v>4.8234130763100298E-2</v>
      </c>
      <c r="F20" s="23">
        <v>4.8256403476485001E-2</v>
      </c>
      <c r="G20" s="23">
        <v>0.56019300733885902</v>
      </c>
      <c r="H20" s="24">
        <v>0.14593538685847099</v>
      </c>
      <c r="I20" s="23">
        <v>5.1922263661525601E-2</v>
      </c>
      <c r="J20" s="32">
        <v>0.119640164326937</v>
      </c>
    </row>
    <row r="21" spans="2:10" ht="15" thickBot="1" x14ac:dyDescent="0.35">
      <c r="B21" s="33" t="s">
        <v>14</v>
      </c>
      <c r="C21" s="25">
        <v>2.3388760950519001E-3</v>
      </c>
      <c r="D21" s="25">
        <v>1.8778370660985099E-2</v>
      </c>
      <c r="E21" s="25">
        <v>0.138381552340817</v>
      </c>
      <c r="F21" s="25">
        <v>9.00096806141845E-3</v>
      </c>
      <c r="G21" s="25">
        <v>0.10242359254842701</v>
      </c>
      <c r="H21" s="26">
        <v>0.53044093150163296</v>
      </c>
      <c r="I21" s="23">
        <v>7.0546877589776999E-2</v>
      </c>
      <c r="J21" s="32">
        <v>0.12808883120189099</v>
      </c>
    </row>
    <row r="22" spans="2:10" ht="15" thickBot="1" x14ac:dyDescent="0.35">
      <c r="B22" s="31" t="s">
        <v>8</v>
      </c>
      <c r="C22" s="23">
        <v>3.9982532453906698E-4</v>
      </c>
      <c r="D22" s="23">
        <v>1.7083316792096501E-2</v>
      </c>
      <c r="E22" s="23">
        <v>0.128028700463722</v>
      </c>
      <c r="F22" s="23">
        <v>4.5001616315141803E-3</v>
      </c>
      <c r="G22" s="23">
        <v>0.105509460642254</v>
      </c>
      <c r="H22" s="23">
        <v>0.23352020204884499</v>
      </c>
      <c r="I22" s="23">
        <v>0.22802614838718199</v>
      </c>
      <c r="J22" s="32">
        <v>0.28293218470984799</v>
      </c>
    </row>
    <row r="23" spans="2:10" ht="15" thickBot="1" x14ac:dyDescent="0.35">
      <c r="B23" s="34" t="s">
        <v>9</v>
      </c>
      <c r="C23" s="35">
        <v>4.8651223006711302E-4</v>
      </c>
      <c r="D23" s="35">
        <v>1.0456030038296701E-2</v>
      </c>
      <c r="E23" s="35">
        <v>3.9758384843122697E-2</v>
      </c>
      <c r="F23" s="35">
        <v>3.2900812742279102E-3</v>
      </c>
      <c r="G23" s="35">
        <v>4.4760419611321899E-2</v>
      </c>
      <c r="H23" s="35">
        <v>9.8641201014088201E-2</v>
      </c>
      <c r="I23" s="35">
        <v>6.6294410794955599E-2</v>
      </c>
      <c r="J23" s="36">
        <v>0.73631296019392001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2.5233025608527499E-3</v>
      </c>
      <c r="D28">
        <v>5.9164156756130596E-4</v>
      </c>
      <c r="E28">
        <v>1.01464282244363E-3</v>
      </c>
      <c r="F28">
        <v>7.1570015052169103E-4</v>
      </c>
      <c r="G28">
        <v>5.2628615226703096E-4</v>
      </c>
      <c r="H28">
        <v>4.7248464074799298E-4</v>
      </c>
      <c r="I28">
        <v>1.8282010367586299E-4</v>
      </c>
      <c r="J28">
        <v>9.5757354015988194E-5</v>
      </c>
    </row>
    <row r="29" spans="2:10" x14ac:dyDescent="0.3">
      <c r="B29" t="s">
        <v>11</v>
      </c>
      <c r="C29">
        <v>2.0855379844798399E-4</v>
      </c>
      <c r="D29">
        <v>1.62497778937058E-2</v>
      </c>
      <c r="E29">
        <v>2.1786402747495E-3</v>
      </c>
      <c r="F29">
        <v>1.81224147775596E-3</v>
      </c>
      <c r="G29">
        <v>3.20078146403716E-3</v>
      </c>
      <c r="H29">
        <v>2.34824341274308E-3</v>
      </c>
      <c r="I29">
        <v>1.0343661531306599E-3</v>
      </c>
      <c r="J29">
        <v>2.5081307680165799E-3</v>
      </c>
    </row>
    <row r="30" spans="2:10" x14ac:dyDescent="0.3">
      <c r="B30" t="s">
        <v>12</v>
      </c>
      <c r="C30">
        <v>1.3290198759239101E-3</v>
      </c>
      <c r="D30">
        <v>2.7240954037345399E-3</v>
      </c>
      <c r="E30">
        <v>0.28274357365161401</v>
      </c>
      <c r="F30">
        <v>1.11425147771803E-3</v>
      </c>
      <c r="G30">
        <v>5.2320802891276897E-3</v>
      </c>
      <c r="H30">
        <v>1.8622675469807701E-2</v>
      </c>
      <c r="I30">
        <v>4.9541155384542198E-3</v>
      </c>
      <c r="J30">
        <v>1.1653950078382699E-2</v>
      </c>
    </row>
    <row r="31" spans="2:10" x14ac:dyDescent="0.3">
      <c r="B31" t="s">
        <v>5</v>
      </c>
      <c r="C31">
        <v>9.1080357108991501E-4</v>
      </c>
      <c r="D31">
        <v>1.17213770269296E-3</v>
      </c>
      <c r="E31">
        <v>7.5167480545822705E-4</v>
      </c>
      <c r="F31">
        <v>4.99840550292597E-3</v>
      </c>
      <c r="G31">
        <v>4.9087752190938201E-3</v>
      </c>
      <c r="H31">
        <v>1.1198825469822299E-3</v>
      </c>
      <c r="I31">
        <v>7.9914501112063202E-5</v>
      </c>
      <c r="J31">
        <v>5.0145692976014296E-4</v>
      </c>
    </row>
    <row r="32" spans="2:10" x14ac:dyDescent="0.3">
      <c r="B32" t="s">
        <v>13</v>
      </c>
      <c r="C32">
        <v>3.33837795445136E-4</v>
      </c>
      <c r="D32">
        <v>2.30424521351818E-3</v>
      </c>
      <c r="E32">
        <v>4.9284401967314697E-3</v>
      </c>
      <c r="F32">
        <v>4.9307159656569004E-3</v>
      </c>
      <c r="G32">
        <v>5.7239089657418002E-2</v>
      </c>
      <c r="H32">
        <v>1.4911304823784E-2</v>
      </c>
      <c r="I32">
        <v>5.3052841895622196E-3</v>
      </c>
      <c r="J32">
        <v>1.22245261951215E-2</v>
      </c>
    </row>
    <row r="33" spans="2:10" x14ac:dyDescent="0.3">
      <c r="B33" t="s">
        <v>14</v>
      </c>
      <c r="C33">
        <v>3.84955066693159E-4</v>
      </c>
      <c r="D33">
        <v>3.0907276129255499E-3</v>
      </c>
      <c r="E33">
        <v>2.2776187170907E-2</v>
      </c>
      <c r="F33">
        <v>1.4814672174027501E-3</v>
      </c>
      <c r="G33">
        <v>1.6857875021189499E-2</v>
      </c>
      <c r="H33">
        <v>8.7305148226957202E-2</v>
      </c>
      <c r="I33">
        <v>1.1611293999293301E-2</v>
      </c>
      <c r="J33">
        <v>2.1082110618125101E-2</v>
      </c>
    </row>
    <row r="34" spans="2:10" x14ac:dyDescent="0.3">
      <c r="B34" t="s">
        <v>8</v>
      </c>
      <c r="C34">
        <v>2.46833398834631E-5</v>
      </c>
      <c r="D34">
        <v>1.0546438377866899E-3</v>
      </c>
      <c r="E34">
        <v>7.9038913606268094E-3</v>
      </c>
      <c r="F34">
        <v>2.7781886805004199E-4</v>
      </c>
      <c r="G34">
        <v>6.5136591359138797E-3</v>
      </c>
      <c r="H34">
        <v>1.4416441788602701E-2</v>
      </c>
      <c r="I34">
        <v>1.4077264689140201E-2</v>
      </c>
      <c r="J34">
        <v>1.7466905797463E-2</v>
      </c>
    </row>
    <row r="35" spans="2:10" x14ac:dyDescent="0.3">
      <c r="B35" t="s">
        <v>9</v>
      </c>
      <c r="C35">
        <v>1.42556499610639E-4</v>
      </c>
      <c r="D35">
        <v>3.0637976806413502E-3</v>
      </c>
      <c r="E35">
        <v>1.1649894541451499E-2</v>
      </c>
      <c r="F35">
        <v>9.6405072863993901E-4</v>
      </c>
      <c r="G35">
        <v>1.31155772589997E-2</v>
      </c>
      <c r="H35">
        <v>2.8903578296516901E-2</v>
      </c>
      <c r="I35">
        <v>1.94254091934646E-2</v>
      </c>
      <c r="J35">
        <v>0.21575243485392601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-2.6492284413929699E-4</v>
      </c>
    </row>
    <row r="41" spans="2:10" x14ac:dyDescent="0.3">
      <c r="B41" t="s">
        <v>11</v>
      </c>
      <c r="C41">
        <v>7.1033166997966401E-4</v>
      </c>
    </row>
    <row r="42" spans="2:10" x14ac:dyDescent="0.3">
      <c r="B42" t="s">
        <v>12</v>
      </c>
      <c r="C42">
        <v>5.5731830392193897E-3</v>
      </c>
    </row>
    <row r="43" spans="2:10" x14ac:dyDescent="0.3">
      <c r="B43" t="s">
        <v>5</v>
      </c>
      <c r="C43">
        <v>1.8516006095559501E-3</v>
      </c>
    </row>
    <row r="44" spans="2:10" x14ac:dyDescent="0.3">
      <c r="B44" t="s">
        <v>13</v>
      </c>
      <c r="C44">
        <v>5.4166801608093304E-3</v>
      </c>
    </row>
    <row r="45" spans="2:10" x14ac:dyDescent="0.3">
      <c r="B45" t="s">
        <v>14</v>
      </c>
      <c r="C45">
        <v>3.5099942726482302E-3</v>
      </c>
    </row>
    <row r="46" spans="2:10" x14ac:dyDescent="0.3">
      <c r="B46" t="s">
        <v>8</v>
      </c>
      <c r="C46">
        <v>-5.06484044963359E-3</v>
      </c>
    </row>
    <row r="47" spans="2:10" x14ac:dyDescent="0.3">
      <c r="B47" t="s">
        <v>9</v>
      </c>
      <c r="C47">
        <v>-1.1732026458439701E-2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7"/>
  <sheetViews>
    <sheetView topLeftCell="A7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155141</v>
      </c>
      <c r="D4" s="4">
        <v>32668</v>
      </c>
      <c r="E4" s="4">
        <v>40972</v>
      </c>
      <c r="F4" s="4">
        <v>61848</v>
      </c>
      <c r="G4" s="4">
        <v>20780</v>
      </c>
      <c r="H4" s="5">
        <v>31356</v>
      </c>
      <c r="I4" s="4">
        <v>1543</v>
      </c>
      <c r="J4" s="4">
        <v>16000</v>
      </c>
      <c r="K4" s="15">
        <f>SUM(C4:J4)</f>
        <v>360308</v>
      </c>
      <c r="L4" s="18">
        <f>K4/$K$12</f>
        <v>7.8912583772126552E-3</v>
      </c>
    </row>
    <row r="5" spans="1:12" ht="29.4" thickBot="1" x14ac:dyDescent="0.35">
      <c r="A5" s="49"/>
      <c r="B5" s="13" t="s">
        <v>11</v>
      </c>
      <c r="C5" s="4">
        <v>25004</v>
      </c>
      <c r="D5" s="4">
        <v>711512</v>
      </c>
      <c r="E5" s="4">
        <v>97398</v>
      </c>
      <c r="F5" s="4">
        <v>57418</v>
      </c>
      <c r="G5" s="4">
        <v>146518</v>
      </c>
      <c r="H5" s="5">
        <v>156774</v>
      </c>
      <c r="I5" s="4">
        <v>56173</v>
      </c>
      <c r="J5" s="4">
        <v>84226</v>
      </c>
      <c r="K5" s="15">
        <f t="shared" ref="K5:K11" si="0">SUM(C5:J5)</f>
        <v>1335023</v>
      </c>
      <c r="L5" s="18">
        <f t="shared" ref="L5:L12" si="1">K5/$K$12</f>
        <v>2.9238905138163931E-2</v>
      </c>
    </row>
    <row r="6" spans="1:12" ht="29.4" thickBot="1" x14ac:dyDescent="0.35">
      <c r="A6" s="49"/>
      <c r="B6" s="13" t="s">
        <v>12</v>
      </c>
      <c r="C6" s="4">
        <v>33026</v>
      </c>
      <c r="D6" s="4">
        <v>105808</v>
      </c>
      <c r="E6" s="4">
        <v>12606386</v>
      </c>
      <c r="F6" s="4">
        <v>43750</v>
      </c>
      <c r="G6" s="4">
        <v>239062</v>
      </c>
      <c r="H6" s="5">
        <v>841820</v>
      </c>
      <c r="I6" s="4">
        <v>293015</v>
      </c>
      <c r="J6" s="4">
        <v>457090</v>
      </c>
      <c r="K6" s="15">
        <f t="shared" si="0"/>
        <v>14619957</v>
      </c>
      <c r="L6" s="18">
        <f t="shared" si="1"/>
        <v>0.32019788112042691</v>
      </c>
    </row>
    <row r="7" spans="1:12" ht="29.4" thickBot="1" x14ac:dyDescent="0.35">
      <c r="A7" s="49"/>
      <c r="B7" s="13" t="s">
        <v>5</v>
      </c>
      <c r="C7" s="4">
        <v>32347</v>
      </c>
      <c r="D7" s="4">
        <v>48948</v>
      </c>
      <c r="E7" s="4">
        <v>54647</v>
      </c>
      <c r="F7" s="4">
        <v>302082</v>
      </c>
      <c r="G7" s="4">
        <v>220981</v>
      </c>
      <c r="H7" s="5">
        <v>64593</v>
      </c>
      <c r="I7" s="4">
        <v>20362</v>
      </c>
      <c r="J7" s="4">
        <v>29429</v>
      </c>
      <c r="K7" s="15">
        <f t="shared" si="0"/>
        <v>773389</v>
      </c>
      <c r="L7" s="18">
        <f t="shared" si="1"/>
        <v>1.6938320617621915E-2</v>
      </c>
    </row>
    <row r="8" spans="1:12" ht="43.8" thickBot="1" x14ac:dyDescent="0.35">
      <c r="A8" s="49"/>
      <c r="B8" s="13" t="s">
        <v>13</v>
      </c>
      <c r="C8" s="4">
        <v>13823</v>
      </c>
      <c r="D8" s="4">
        <v>163388</v>
      </c>
      <c r="E8" s="4">
        <v>209426</v>
      </c>
      <c r="F8" s="4">
        <v>202592</v>
      </c>
      <c r="G8" s="4">
        <v>2624045</v>
      </c>
      <c r="H8" s="5">
        <v>705670</v>
      </c>
      <c r="I8" s="4">
        <v>244218</v>
      </c>
      <c r="J8" s="4">
        <v>623618</v>
      </c>
      <c r="K8" s="15">
        <f t="shared" si="0"/>
        <v>4786780</v>
      </c>
      <c r="L8" s="18">
        <f t="shared" si="1"/>
        <v>0.10483729968491955</v>
      </c>
    </row>
    <row r="9" spans="1:12" ht="29.4" thickBot="1" x14ac:dyDescent="0.35">
      <c r="A9" s="49"/>
      <c r="B9" s="8" t="s">
        <v>14</v>
      </c>
      <c r="C9" s="6">
        <v>29334</v>
      </c>
      <c r="D9" s="6">
        <v>157562</v>
      </c>
      <c r="E9" s="6">
        <v>1039518</v>
      </c>
      <c r="F9" s="6">
        <v>76984</v>
      </c>
      <c r="G9" s="6">
        <v>787059</v>
      </c>
      <c r="H9" s="7">
        <v>4018463</v>
      </c>
      <c r="I9" s="4">
        <v>549040</v>
      </c>
      <c r="J9" s="4">
        <v>954143</v>
      </c>
      <c r="K9" s="15">
        <f t="shared" si="0"/>
        <v>7612103</v>
      </c>
      <c r="L9" s="18">
        <f t="shared" si="1"/>
        <v>0.16671589741819659</v>
      </c>
    </row>
    <row r="10" spans="1:12" ht="29.4" thickBot="1" x14ac:dyDescent="0.35">
      <c r="A10" s="49"/>
      <c r="B10" s="13" t="s">
        <v>8</v>
      </c>
      <c r="C10" s="4">
        <v>0</v>
      </c>
      <c r="D10" s="4">
        <v>50921</v>
      </c>
      <c r="E10" s="4">
        <v>272436</v>
      </c>
      <c r="F10" s="4">
        <v>17832</v>
      </c>
      <c r="G10" s="4">
        <v>282865</v>
      </c>
      <c r="H10" s="4">
        <v>642376</v>
      </c>
      <c r="I10" s="4">
        <v>761947</v>
      </c>
      <c r="J10" s="4">
        <v>768803</v>
      </c>
      <c r="K10" s="15">
        <f t="shared" si="0"/>
        <v>2797180</v>
      </c>
      <c r="L10" s="18">
        <f t="shared" si="1"/>
        <v>6.1262225949941976E-2</v>
      </c>
    </row>
    <row r="11" spans="1:12" ht="15" thickBot="1" x14ac:dyDescent="0.35">
      <c r="A11" s="49"/>
      <c r="B11" s="13" t="s">
        <v>9</v>
      </c>
      <c r="C11" s="4">
        <v>5684</v>
      </c>
      <c r="D11" s="4">
        <v>115277</v>
      </c>
      <c r="E11" s="4">
        <v>427354</v>
      </c>
      <c r="F11" s="4">
        <v>48915</v>
      </c>
      <c r="G11" s="4">
        <v>645797</v>
      </c>
      <c r="H11" s="4">
        <v>1372272</v>
      </c>
      <c r="I11" s="4">
        <v>1097665</v>
      </c>
      <c r="J11" s="4">
        <v>9661427</v>
      </c>
      <c r="K11" s="15">
        <f t="shared" si="0"/>
        <v>13374391</v>
      </c>
      <c r="L11" s="18">
        <f t="shared" si="1"/>
        <v>0.29291821169351645</v>
      </c>
    </row>
    <row r="12" spans="1:12" ht="15" thickBot="1" x14ac:dyDescent="0.35">
      <c r="A12" s="50"/>
      <c r="B12" s="20" t="s">
        <v>18</v>
      </c>
      <c r="C12" s="21">
        <f>SUM(C4:C11)</f>
        <v>294359</v>
      </c>
      <c r="D12" s="21">
        <f t="shared" ref="D12:J12" si="2">SUM(D4:D11)</f>
        <v>1386084</v>
      </c>
      <c r="E12" s="21">
        <f t="shared" si="2"/>
        <v>14748137</v>
      </c>
      <c r="F12" s="21">
        <f t="shared" si="2"/>
        <v>811421</v>
      </c>
      <c r="G12" s="21">
        <f t="shared" si="2"/>
        <v>4967107</v>
      </c>
      <c r="H12" s="21">
        <f t="shared" si="2"/>
        <v>7833324</v>
      </c>
      <c r="I12" s="21">
        <f t="shared" si="2"/>
        <v>3023963</v>
      </c>
      <c r="J12" s="21">
        <f t="shared" si="2"/>
        <v>12594736</v>
      </c>
      <c r="K12" s="22">
        <f>SUM(K4:K11)</f>
        <v>45659131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6.4468813477856161E-3</v>
      </c>
      <c r="D13" s="18">
        <f t="shared" ref="D13:K13" si="3">D12/$K$12</f>
        <v>3.0357213763003942E-2</v>
      </c>
      <c r="E13" s="18">
        <f t="shared" si="3"/>
        <v>0.32300520568383134</v>
      </c>
      <c r="F13" s="18">
        <f t="shared" si="3"/>
        <v>1.7771275585599735E-2</v>
      </c>
      <c r="G13" s="18">
        <f t="shared" si="3"/>
        <v>0.10878671781992522</v>
      </c>
      <c r="H13" s="18">
        <f t="shared" si="3"/>
        <v>0.17156095239745145</v>
      </c>
      <c r="I13" s="18">
        <f t="shared" si="3"/>
        <v>6.6229096651007222E-2</v>
      </c>
      <c r="J13" s="18">
        <f t="shared" si="3"/>
        <v>0.27584265675139547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0.430578838105177</v>
      </c>
      <c r="D16" s="23">
        <v>9.0666873896777203E-2</v>
      </c>
      <c r="E16" s="23">
        <v>0.113713822618426</v>
      </c>
      <c r="F16" s="23">
        <v>0.171653141201417</v>
      </c>
      <c r="G16" s="23">
        <v>5.7672879869444998E-2</v>
      </c>
      <c r="H16" s="24">
        <v>8.7025544811661096E-2</v>
      </c>
      <c r="I16" s="23">
        <v>4.28244723958391E-3</v>
      </c>
      <c r="J16" s="32">
        <v>4.4406452257513003E-2</v>
      </c>
    </row>
    <row r="17" spans="2:10" ht="29.4" thickBot="1" x14ac:dyDescent="0.35">
      <c r="B17" s="31" t="s">
        <v>11</v>
      </c>
      <c r="C17" s="23">
        <v>1.87292653384998E-2</v>
      </c>
      <c r="D17" s="23">
        <v>0.53295860820375396</v>
      </c>
      <c r="E17" s="23">
        <v>7.2956046450136106E-2</v>
      </c>
      <c r="F17" s="23">
        <v>4.3008996848743403E-2</v>
      </c>
      <c r="G17" s="23">
        <v>0.10974942004744501</v>
      </c>
      <c r="H17" s="24">
        <v>0.117431684697567</v>
      </c>
      <c r="I17" s="23">
        <v>4.2076428645798601E-2</v>
      </c>
      <c r="J17" s="32">
        <v>6.3089549768056405E-2</v>
      </c>
    </row>
    <row r="18" spans="2:10" ht="29.4" thickBot="1" x14ac:dyDescent="0.35">
      <c r="B18" s="31" t="s">
        <v>12</v>
      </c>
      <c r="C18" s="23">
        <v>2.2589669723378802E-3</v>
      </c>
      <c r="D18" s="23">
        <v>7.2372305882978999E-3</v>
      </c>
      <c r="E18" s="23">
        <v>0.862272440336179</v>
      </c>
      <c r="F18" s="23">
        <v>2.9924848616175799E-3</v>
      </c>
      <c r="G18" s="23">
        <v>1.6351758079726199E-2</v>
      </c>
      <c r="H18" s="24">
        <v>5.7580196713300898E-2</v>
      </c>
      <c r="I18" s="23">
        <v>2.0042124610899999E-2</v>
      </c>
      <c r="J18" s="32">
        <v>3.1264797837640697E-2</v>
      </c>
    </row>
    <row r="19" spans="2:10" ht="29.4" thickBot="1" x14ac:dyDescent="0.35">
      <c r="B19" s="31" t="s">
        <v>5</v>
      </c>
      <c r="C19" s="23">
        <v>4.1825006562027603E-2</v>
      </c>
      <c r="D19" s="23">
        <v>6.3290271777850501E-2</v>
      </c>
      <c r="E19" s="23">
        <v>7.0659137898263405E-2</v>
      </c>
      <c r="F19" s="23">
        <v>0.390595159744967</v>
      </c>
      <c r="G19" s="23">
        <v>0.28573072541761002</v>
      </c>
      <c r="H19" s="24">
        <v>8.3519419076299201E-2</v>
      </c>
      <c r="I19" s="23">
        <v>2.6328277231768199E-2</v>
      </c>
      <c r="J19" s="32">
        <v>3.8052002291214401E-2</v>
      </c>
    </row>
    <row r="20" spans="2:10" ht="43.8" thickBot="1" x14ac:dyDescent="0.35">
      <c r="B20" s="31" t="s">
        <v>13</v>
      </c>
      <c r="C20" s="23">
        <v>2.8877449976811099E-3</v>
      </c>
      <c r="D20" s="23">
        <v>3.4133175119809102E-2</v>
      </c>
      <c r="E20" s="23">
        <v>4.3750913975574401E-2</v>
      </c>
      <c r="F20" s="23">
        <v>4.2323231901194497E-2</v>
      </c>
      <c r="G20" s="23">
        <v>0.54818583682559097</v>
      </c>
      <c r="H20" s="24">
        <v>0.14742060424753201</v>
      </c>
      <c r="I20" s="23">
        <v>5.10192655605647E-2</v>
      </c>
      <c r="J20" s="32">
        <v>0.130279227372054</v>
      </c>
    </row>
    <row r="21" spans="2:10" ht="29.4" thickBot="1" x14ac:dyDescent="0.35">
      <c r="B21" s="33" t="s">
        <v>14</v>
      </c>
      <c r="C21" s="25">
        <v>3.8535999841305402E-3</v>
      </c>
      <c r="D21" s="25">
        <v>2.0698879140232301E-2</v>
      </c>
      <c r="E21" s="25">
        <v>0.13656121048283201</v>
      </c>
      <c r="F21" s="25">
        <v>1.01133681454389E-2</v>
      </c>
      <c r="G21" s="25">
        <v>0.103395737025629</v>
      </c>
      <c r="H21" s="26">
        <v>0.52790444375227197</v>
      </c>
      <c r="I21" s="23">
        <v>7.2127242629270796E-2</v>
      </c>
      <c r="J21" s="32">
        <v>0.12534551884019399</v>
      </c>
    </row>
    <row r="22" spans="2:10" ht="29.4" thickBot="1" x14ac:dyDescent="0.35">
      <c r="B22" s="31" t="s">
        <v>8</v>
      </c>
      <c r="C22" s="23">
        <v>0</v>
      </c>
      <c r="D22" s="23">
        <v>1.82044058659078E-2</v>
      </c>
      <c r="E22" s="23">
        <v>9.7396663782809798E-2</v>
      </c>
      <c r="F22" s="23">
        <v>6.3749919561844398E-3</v>
      </c>
      <c r="G22" s="23">
        <v>0.101125061669253</v>
      </c>
      <c r="H22" s="23">
        <v>0.229651291658027</v>
      </c>
      <c r="I22" s="23">
        <v>0.27239827254592103</v>
      </c>
      <c r="J22" s="32">
        <v>0.27484931252189698</v>
      </c>
    </row>
    <row r="23" spans="2:10" ht="15" thickBot="1" x14ac:dyDescent="0.35">
      <c r="B23" s="34" t="s">
        <v>9</v>
      </c>
      <c r="C23" s="35">
        <v>4.2499131362317701E-4</v>
      </c>
      <c r="D23" s="35">
        <v>8.6192335785606998E-3</v>
      </c>
      <c r="E23" s="35">
        <v>3.19531558483672E-2</v>
      </c>
      <c r="F23" s="35">
        <v>3.6573627913226098E-3</v>
      </c>
      <c r="G23" s="35">
        <v>4.8286086446851999E-2</v>
      </c>
      <c r="H23" s="35">
        <v>0.102604447559519</v>
      </c>
      <c r="I23" s="35">
        <v>8.2072148182298493E-2</v>
      </c>
      <c r="J23" s="36">
        <v>0.72238257427945696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3.3978088632479701E-3</v>
      </c>
      <c r="D28">
        <v>7.1547572817362603E-4</v>
      </c>
      <c r="E28">
        <v>8.9734515534253205E-4</v>
      </c>
      <c r="F28">
        <v>1.35455928848055E-3</v>
      </c>
      <c r="G28">
        <v>4.5511159640773701E-4</v>
      </c>
      <c r="H28">
        <v>6.8674105952651603E-4</v>
      </c>
      <c r="I28">
        <v>3.3793897654337702E-5</v>
      </c>
      <c r="J28">
        <v>3.5042278837939299E-4</v>
      </c>
    </row>
    <row r="29" spans="2:10" x14ac:dyDescent="0.3">
      <c r="B29" t="s">
        <v>11</v>
      </c>
      <c r="C29">
        <v>5.4762321253989704E-4</v>
      </c>
      <c r="D29">
        <v>1.5583126187837399E-2</v>
      </c>
      <c r="E29">
        <v>2.1331549214110099E-3</v>
      </c>
      <c r="F29">
        <v>1.2575359789480001E-3</v>
      </c>
      <c r="G29">
        <v>3.2089528817357501E-3</v>
      </c>
      <c r="H29">
        <v>3.43357388908694E-3</v>
      </c>
      <c r="I29">
        <v>1.23026870572723E-3</v>
      </c>
      <c r="J29">
        <v>1.8446693608776699E-3</v>
      </c>
    </row>
    <row r="30" spans="2:10" x14ac:dyDescent="0.3">
      <c r="B30" t="s">
        <v>12</v>
      </c>
      <c r="C30">
        <v>7.23316438063615E-4</v>
      </c>
      <c r="D30">
        <v>2.3173458995529301E-3</v>
      </c>
      <c r="E30">
        <v>0.27609780834418401</v>
      </c>
      <c r="F30">
        <v>9.5818731197490402E-4</v>
      </c>
      <c r="G30">
        <v>5.2357982897221602E-3</v>
      </c>
      <c r="H30">
        <v>1.84370569820963E-2</v>
      </c>
      <c r="I30">
        <v>6.4174458335617499E-3</v>
      </c>
      <c r="J30">
        <v>1.00109220212711E-2</v>
      </c>
    </row>
    <row r="31" spans="2:10" x14ac:dyDescent="0.3">
      <c r="B31" t="s">
        <v>5</v>
      </c>
      <c r="C31">
        <v>7.0844537098176499E-4</v>
      </c>
      <c r="D31">
        <v>1.0720309153496601E-3</v>
      </c>
      <c r="E31">
        <v>1.19684713228554E-3</v>
      </c>
      <c r="F31">
        <v>6.6160260474514903E-3</v>
      </c>
      <c r="G31">
        <v>4.8397986374291704E-3</v>
      </c>
      <c r="H31">
        <v>1.4146786981118801E-3</v>
      </c>
      <c r="I31">
        <v>4.4595680106132601E-4</v>
      </c>
      <c r="J31">
        <v>6.4453701495107297E-4</v>
      </c>
    </row>
    <row r="32" spans="2:10" x14ac:dyDescent="0.3">
      <c r="B32" t="s">
        <v>13</v>
      </c>
      <c r="C32">
        <v>3.0274338773552198E-4</v>
      </c>
      <c r="D32">
        <v>3.57842990923327E-3</v>
      </c>
      <c r="E32">
        <v>4.5867276799464304E-3</v>
      </c>
      <c r="F32">
        <v>4.4370533464598797E-3</v>
      </c>
      <c r="G32">
        <v>5.74703228583128E-2</v>
      </c>
      <c r="H32">
        <v>1.54551780672304E-2</v>
      </c>
      <c r="I32">
        <v>5.3487220332774201E-3</v>
      </c>
      <c r="J32">
        <v>1.36581224027238E-2</v>
      </c>
    </row>
    <row r="33" spans="2:10" x14ac:dyDescent="0.3">
      <c r="B33" t="s">
        <v>14</v>
      </c>
      <c r="C33">
        <v>6.4245637964506996E-4</v>
      </c>
      <c r="D33">
        <v>3.4508322114146202E-3</v>
      </c>
      <c r="E33">
        <v>2.2766924758160601E-2</v>
      </c>
      <c r="F33">
        <v>1.68605924628745E-3</v>
      </c>
      <c r="G33">
        <v>1.7237713087443599E-2</v>
      </c>
      <c r="H33">
        <v>8.8010063091213897E-2</v>
      </c>
      <c r="I33">
        <v>1.2024757983238901E-2</v>
      </c>
      <c r="J33">
        <v>2.0897090660792501E-2</v>
      </c>
    </row>
    <row r="34" spans="2:10" x14ac:dyDescent="0.3">
      <c r="B34" t="s">
        <v>8</v>
      </c>
      <c r="C34">
        <v>0</v>
      </c>
      <c r="D34">
        <v>1.1152424254416899E-3</v>
      </c>
      <c r="E34">
        <v>5.9667364234330302E-3</v>
      </c>
      <c r="F34">
        <v>3.9054619764883401E-4</v>
      </c>
      <c r="G34">
        <v>6.1951463771835703E-3</v>
      </c>
      <c r="H34">
        <v>1.4068949319250099E-2</v>
      </c>
      <c r="I34">
        <v>1.6687724521082099E-2</v>
      </c>
      <c r="J34">
        <v>1.6837880685902699E-2</v>
      </c>
    </row>
    <row r="35" spans="2:10" x14ac:dyDescent="0.3">
      <c r="B35" t="s">
        <v>9</v>
      </c>
      <c r="C35">
        <v>1.24487695571779E-4</v>
      </c>
      <c r="D35">
        <v>2.5247304860007099E-3</v>
      </c>
      <c r="E35">
        <v>9.3596612690679606E-3</v>
      </c>
      <c r="F35">
        <v>1.0713081683486299E-3</v>
      </c>
      <c r="G35">
        <v>1.4143874091690401E-2</v>
      </c>
      <c r="H35">
        <v>3.0054711290935399E-2</v>
      </c>
      <c r="I35">
        <v>2.4040426875404201E-2</v>
      </c>
      <c r="J35">
        <v>0.21159901181649701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-1.44437702942704E-3</v>
      </c>
    </row>
    <row r="41" spans="2:10" x14ac:dyDescent="0.3">
      <c r="B41" t="s">
        <v>11</v>
      </c>
      <c r="C41">
        <v>1.11830862484001E-3</v>
      </c>
    </row>
    <row r="42" spans="2:10" x14ac:dyDescent="0.3">
      <c r="B42" t="s">
        <v>12</v>
      </c>
      <c r="C42">
        <v>2.8073245634044298E-3</v>
      </c>
    </row>
    <row r="43" spans="2:10" x14ac:dyDescent="0.3">
      <c r="B43" t="s">
        <v>5</v>
      </c>
      <c r="C43">
        <v>8.3295496797781998E-4</v>
      </c>
    </row>
    <row r="44" spans="2:10" x14ac:dyDescent="0.3">
      <c r="B44" t="s">
        <v>13</v>
      </c>
      <c r="C44">
        <v>3.9494181350056704E-3</v>
      </c>
    </row>
    <row r="45" spans="2:10" x14ac:dyDescent="0.3">
      <c r="B45" t="s">
        <v>14</v>
      </c>
      <c r="C45">
        <v>4.84505497925486E-3</v>
      </c>
    </row>
    <row r="46" spans="2:10" x14ac:dyDescent="0.3">
      <c r="B46" t="s">
        <v>8</v>
      </c>
      <c r="C46">
        <v>4.9668707010652501E-3</v>
      </c>
    </row>
    <row r="47" spans="2:10" x14ac:dyDescent="0.3">
      <c r="B47" t="s">
        <v>9</v>
      </c>
      <c r="C47">
        <v>-1.7075554942120999E-2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7"/>
  <sheetViews>
    <sheetView topLeftCell="A10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144513</v>
      </c>
      <c r="D4" s="4">
        <v>30152</v>
      </c>
      <c r="E4" s="4">
        <v>47364</v>
      </c>
      <c r="F4" s="4">
        <v>37987</v>
      </c>
      <c r="G4" s="4">
        <v>19252</v>
      </c>
      <c r="H4" s="5">
        <v>29552</v>
      </c>
      <c r="I4" s="4">
        <v>6342</v>
      </c>
      <c r="J4" s="4">
        <v>12169</v>
      </c>
      <c r="K4" s="15">
        <f>SUM(C4:J4)</f>
        <v>327331</v>
      </c>
      <c r="L4" s="18">
        <f>K4/$K$12</f>
        <v>7.0050262563024551E-3</v>
      </c>
    </row>
    <row r="5" spans="1:12" ht="29.4" thickBot="1" x14ac:dyDescent="0.35">
      <c r="A5" s="49"/>
      <c r="B5" s="13" t="s">
        <v>11</v>
      </c>
      <c r="C5" s="4">
        <v>14656</v>
      </c>
      <c r="D5" s="4">
        <v>792881</v>
      </c>
      <c r="E5" s="4">
        <v>115134</v>
      </c>
      <c r="F5" s="4">
        <v>67406</v>
      </c>
      <c r="G5" s="4">
        <v>142969</v>
      </c>
      <c r="H5" s="5">
        <v>120046</v>
      </c>
      <c r="I5" s="4">
        <v>53152</v>
      </c>
      <c r="J5" s="4">
        <v>97324</v>
      </c>
      <c r="K5" s="15">
        <f t="shared" ref="K5:K11" si="0">SUM(C5:J5)</f>
        <v>1403568</v>
      </c>
      <c r="L5" s="18">
        <f t="shared" ref="L5:L12" si="1">K5/$K$12</f>
        <v>3.0036967755898234E-2</v>
      </c>
    </row>
    <row r="6" spans="1:12" ht="29.4" thickBot="1" x14ac:dyDescent="0.35">
      <c r="A6" s="49"/>
      <c r="B6" s="13" t="s">
        <v>12</v>
      </c>
      <c r="C6" s="4">
        <v>21353</v>
      </c>
      <c r="D6" s="4">
        <v>125439</v>
      </c>
      <c r="E6" s="4">
        <v>13643175</v>
      </c>
      <c r="F6" s="4">
        <v>49105</v>
      </c>
      <c r="G6" s="4">
        <v>233332</v>
      </c>
      <c r="H6" s="5">
        <v>873154</v>
      </c>
      <c r="I6" s="4">
        <v>359214</v>
      </c>
      <c r="J6" s="4">
        <v>534870</v>
      </c>
      <c r="K6" s="15">
        <f t="shared" si="0"/>
        <v>15839642</v>
      </c>
      <c r="L6" s="18">
        <f t="shared" si="1"/>
        <v>0.33897525165789716</v>
      </c>
    </row>
    <row r="7" spans="1:12" ht="29.4" thickBot="1" x14ac:dyDescent="0.35">
      <c r="A7" s="49"/>
      <c r="B7" s="13" t="s">
        <v>5</v>
      </c>
      <c r="C7" s="4">
        <v>31819</v>
      </c>
      <c r="D7" s="4">
        <v>84597</v>
      </c>
      <c r="E7" s="4">
        <v>31453</v>
      </c>
      <c r="F7" s="4">
        <v>250215</v>
      </c>
      <c r="G7" s="4">
        <v>263373</v>
      </c>
      <c r="H7" s="5">
        <v>56632</v>
      </c>
      <c r="I7" s="4">
        <v>29950</v>
      </c>
      <c r="J7" s="4">
        <v>32303</v>
      </c>
      <c r="K7" s="15">
        <f t="shared" si="0"/>
        <v>780342</v>
      </c>
      <c r="L7" s="18">
        <f t="shared" si="1"/>
        <v>1.6699659362833252E-2</v>
      </c>
    </row>
    <row r="8" spans="1:12" ht="43.8" thickBot="1" x14ac:dyDescent="0.35">
      <c r="A8" s="49"/>
      <c r="B8" s="13" t="s">
        <v>13</v>
      </c>
      <c r="C8" s="4">
        <v>14320</v>
      </c>
      <c r="D8" s="4">
        <v>148034</v>
      </c>
      <c r="E8" s="4">
        <v>189414</v>
      </c>
      <c r="F8" s="4">
        <v>222600</v>
      </c>
      <c r="G8" s="4">
        <v>2739244</v>
      </c>
      <c r="H8" s="5">
        <v>656735</v>
      </c>
      <c r="I8" s="4">
        <v>334009</v>
      </c>
      <c r="J8" s="4">
        <v>627900</v>
      </c>
      <c r="K8" s="15">
        <f t="shared" si="0"/>
        <v>4932256</v>
      </c>
      <c r="L8" s="18">
        <f t="shared" si="1"/>
        <v>0.10555243097294581</v>
      </c>
    </row>
    <row r="9" spans="1:12" ht="29.4" thickBot="1" x14ac:dyDescent="0.35">
      <c r="A9" s="49"/>
      <c r="B9" s="8" t="s">
        <v>14</v>
      </c>
      <c r="C9" s="6">
        <v>19034</v>
      </c>
      <c r="D9" s="6">
        <v>156621</v>
      </c>
      <c r="E9" s="6">
        <v>881418</v>
      </c>
      <c r="F9" s="6">
        <v>61024</v>
      </c>
      <c r="G9" s="6">
        <v>722139</v>
      </c>
      <c r="H9" s="7">
        <v>4061322</v>
      </c>
      <c r="I9" s="4">
        <v>622232</v>
      </c>
      <c r="J9" s="4">
        <v>933478</v>
      </c>
      <c r="K9" s="15">
        <f t="shared" si="0"/>
        <v>7457268</v>
      </c>
      <c r="L9" s="18">
        <f t="shared" si="1"/>
        <v>0.15958878975802504</v>
      </c>
    </row>
    <row r="10" spans="1:12" ht="29.4" thickBot="1" x14ac:dyDescent="0.35">
      <c r="A10" s="49"/>
      <c r="B10" s="13" t="s">
        <v>8</v>
      </c>
      <c r="C10" s="4">
        <v>2926</v>
      </c>
      <c r="D10" s="4">
        <v>64050</v>
      </c>
      <c r="E10" s="4">
        <v>256656</v>
      </c>
      <c r="F10" s="4">
        <v>7476</v>
      </c>
      <c r="G10" s="4">
        <v>347333</v>
      </c>
      <c r="H10" s="4">
        <v>693340</v>
      </c>
      <c r="I10" s="4">
        <v>941565</v>
      </c>
      <c r="J10" s="4">
        <v>860476</v>
      </c>
      <c r="K10" s="15">
        <f t="shared" si="0"/>
        <v>3173822</v>
      </c>
      <c r="L10" s="18">
        <f t="shared" si="1"/>
        <v>6.7921175943709486E-2</v>
      </c>
    </row>
    <row r="11" spans="1:12" ht="15" thickBot="1" x14ac:dyDescent="0.35">
      <c r="A11" s="49"/>
      <c r="B11" s="13" t="s">
        <v>9</v>
      </c>
      <c r="C11" s="4">
        <v>5654</v>
      </c>
      <c r="D11" s="4">
        <v>147887</v>
      </c>
      <c r="E11" s="4">
        <v>388201</v>
      </c>
      <c r="F11" s="4">
        <v>31130</v>
      </c>
      <c r="G11" s="4">
        <v>659318</v>
      </c>
      <c r="H11" s="4">
        <v>1250000</v>
      </c>
      <c r="I11" s="4">
        <v>1055771</v>
      </c>
      <c r="J11" s="4">
        <v>9275829</v>
      </c>
      <c r="K11" s="15">
        <f t="shared" si="0"/>
        <v>12813790</v>
      </c>
      <c r="L11" s="18">
        <f t="shared" si="1"/>
        <v>0.27422069829238854</v>
      </c>
    </row>
    <row r="12" spans="1:12" ht="15" thickBot="1" x14ac:dyDescent="0.35">
      <c r="A12" s="50"/>
      <c r="B12" s="20" t="s">
        <v>18</v>
      </c>
      <c r="C12" s="21">
        <f>SUM(C4:C11)</f>
        <v>254275</v>
      </c>
      <c r="D12" s="21">
        <f t="shared" ref="D12:J12" si="2">SUM(D4:D11)</f>
        <v>1549661</v>
      </c>
      <c r="E12" s="21">
        <f t="shared" si="2"/>
        <v>15552815</v>
      </c>
      <c r="F12" s="21">
        <f t="shared" si="2"/>
        <v>726943</v>
      </c>
      <c r="G12" s="21">
        <f t="shared" si="2"/>
        <v>5126960</v>
      </c>
      <c r="H12" s="21">
        <f t="shared" si="2"/>
        <v>7740781</v>
      </c>
      <c r="I12" s="21">
        <f t="shared" si="2"/>
        <v>3402235</v>
      </c>
      <c r="J12" s="21">
        <f t="shared" si="2"/>
        <v>12374349</v>
      </c>
      <c r="K12" s="22">
        <f>SUM(K4:K11)</f>
        <v>46728019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5.4415959726433084E-3</v>
      </c>
      <c r="D13" s="18">
        <f t="shared" ref="D13:K13" si="3">D12/$K$12</f>
        <v>3.3163421714924403E-2</v>
      </c>
      <c r="E13" s="18">
        <f t="shared" si="3"/>
        <v>0.33283702867866066</v>
      </c>
      <c r="F13" s="18">
        <f t="shared" si="3"/>
        <v>1.5556897458032621E-2</v>
      </c>
      <c r="G13" s="18">
        <f t="shared" si="3"/>
        <v>0.10971918154715696</v>
      </c>
      <c r="H13" s="18">
        <f t="shared" si="3"/>
        <v>0.16565609169094028</v>
      </c>
      <c r="I13" s="18">
        <f t="shared" si="3"/>
        <v>7.2809313829460653E-2</v>
      </c>
      <c r="J13" s="18">
        <f t="shared" si="3"/>
        <v>0.26481646910818113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0.44148889045033901</v>
      </c>
      <c r="D16" s="23">
        <v>9.2114709575322806E-2</v>
      </c>
      <c r="E16" s="23">
        <v>0.14469756912727499</v>
      </c>
      <c r="F16" s="23">
        <v>0.116050725412503</v>
      </c>
      <c r="G16" s="23">
        <v>5.8815083203240803E-2</v>
      </c>
      <c r="H16" s="24">
        <v>9.0281702619061405E-2</v>
      </c>
      <c r="I16" s="23">
        <v>1.9374883527683E-2</v>
      </c>
      <c r="J16" s="32">
        <v>3.7176436084574903E-2</v>
      </c>
    </row>
    <row r="17" spans="2:10" ht="29.4" thickBot="1" x14ac:dyDescent="0.35">
      <c r="B17" s="31" t="s">
        <v>11</v>
      </c>
      <c r="C17" s="23">
        <v>1.0441959349315501E-2</v>
      </c>
      <c r="D17" s="23">
        <v>0.56490387355653604</v>
      </c>
      <c r="E17" s="23">
        <v>8.2029513354536399E-2</v>
      </c>
      <c r="F17" s="23">
        <v>4.8024748355619401E-2</v>
      </c>
      <c r="G17" s="23">
        <v>0.101861113960991</v>
      </c>
      <c r="H17" s="24">
        <v>8.5529165669208804E-2</v>
      </c>
      <c r="I17" s="23">
        <v>3.7869201919678998E-2</v>
      </c>
      <c r="J17" s="32">
        <v>6.9340423834114207E-2</v>
      </c>
    </row>
    <row r="18" spans="2:10" ht="29.4" thickBot="1" x14ac:dyDescent="0.35">
      <c r="B18" s="31" t="s">
        <v>12</v>
      </c>
      <c r="C18" s="23">
        <v>1.3480733971133899E-3</v>
      </c>
      <c r="D18" s="23">
        <v>7.9193077722337392E-3</v>
      </c>
      <c r="E18" s="23">
        <v>0.86133101998138595</v>
      </c>
      <c r="F18" s="23">
        <v>3.1001331974548399E-3</v>
      </c>
      <c r="G18" s="23">
        <v>1.4730888488515099E-2</v>
      </c>
      <c r="H18" s="24">
        <v>5.5124604457600701E-2</v>
      </c>
      <c r="I18" s="23">
        <v>2.2678164064566599E-2</v>
      </c>
      <c r="J18" s="32">
        <v>3.3767808641129597E-2</v>
      </c>
    </row>
    <row r="19" spans="2:10" ht="29.4" thickBot="1" x14ac:dyDescent="0.35">
      <c r="B19" s="31" t="s">
        <v>5</v>
      </c>
      <c r="C19" s="23">
        <v>4.07757111625415E-2</v>
      </c>
      <c r="D19" s="23">
        <v>0.108410158622758</v>
      </c>
      <c r="E19" s="23">
        <v>4.0306686042786401E-2</v>
      </c>
      <c r="F19" s="23">
        <v>0.32064786978017301</v>
      </c>
      <c r="G19" s="23">
        <v>0.33750970728219198</v>
      </c>
      <c r="H19" s="24">
        <v>7.2573307601026205E-2</v>
      </c>
      <c r="I19" s="23">
        <v>3.8380607477234298E-2</v>
      </c>
      <c r="J19" s="32">
        <v>4.1395952031288798E-2</v>
      </c>
    </row>
    <row r="20" spans="2:10" ht="43.8" thickBot="1" x14ac:dyDescent="0.35">
      <c r="B20" s="31" t="s">
        <v>13</v>
      </c>
      <c r="C20" s="23">
        <v>2.9033367286693998E-3</v>
      </c>
      <c r="D20" s="23">
        <v>3.0013446179598099E-2</v>
      </c>
      <c r="E20" s="23">
        <v>3.8403116139956998E-2</v>
      </c>
      <c r="F20" s="23">
        <v>4.51314773604614E-2</v>
      </c>
      <c r="G20" s="23">
        <v>0.55537344371419495</v>
      </c>
      <c r="H20" s="24">
        <v>0.13315103676694801</v>
      </c>
      <c r="I20" s="23">
        <v>6.7719315461322399E-2</v>
      </c>
      <c r="J20" s="32">
        <v>0.12730482764884901</v>
      </c>
    </row>
    <row r="21" spans="2:10" ht="29.4" thickBot="1" x14ac:dyDescent="0.35">
      <c r="B21" s="33" t="s">
        <v>14</v>
      </c>
      <c r="C21" s="25">
        <v>2.5524092737447498E-3</v>
      </c>
      <c r="D21" s="25">
        <v>2.1002463636817102E-2</v>
      </c>
      <c r="E21" s="25">
        <v>0.118195832575683</v>
      </c>
      <c r="F21" s="25">
        <v>8.1831576926027095E-3</v>
      </c>
      <c r="G21" s="25">
        <v>9.6836938138739295E-2</v>
      </c>
      <c r="H21" s="26">
        <v>0.54461258466237195</v>
      </c>
      <c r="I21" s="23">
        <v>8.3439672544958807E-2</v>
      </c>
      <c r="J21" s="32">
        <v>0.12517694147508199</v>
      </c>
    </row>
    <row r="22" spans="2:10" ht="29.4" thickBot="1" x14ac:dyDescent="0.35">
      <c r="B22" s="31" t="s">
        <v>8</v>
      </c>
      <c r="C22" s="23">
        <v>9.2191685608077598E-4</v>
      </c>
      <c r="D22" s="23">
        <v>2.01807158687538E-2</v>
      </c>
      <c r="E22" s="23">
        <v>8.0866538829209703E-2</v>
      </c>
      <c r="F22" s="23">
        <v>2.3555196227135599E-3</v>
      </c>
      <c r="G22" s="23">
        <v>0.10943682411931099</v>
      </c>
      <c r="H22" s="23">
        <v>0.218455855432346</v>
      </c>
      <c r="I22" s="23">
        <v>0.29666597559661501</v>
      </c>
      <c r="J22" s="32">
        <v>0.27111665367497001</v>
      </c>
    </row>
    <row r="23" spans="2:10" ht="15" thickBot="1" x14ac:dyDescent="0.35">
      <c r="B23" s="34" t="s">
        <v>9</v>
      </c>
      <c r="C23" s="35">
        <v>4.4124337920318699E-4</v>
      </c>
      <c r="D23" s="35">
        <v>1.15412379943795E-2</v>
      </c>
      <c r="E23" s="35">
        <v>3.0295564388053801E-2</v>
      </c>
      <c r="F23" s="35">
        <v>2.4294139360798001E-3</v>
      </c>
      <c r="G23" s="35">
        <v>5.1453785335954502E-2</v>
      </c>
      <c r="H23" s="35">
        <v>9.75511538740685E-2</v>
      </c>
      <c r="I23" s="35">
        <v>8.2393343421423307E-2</v>
      </c>
      <c r="J23" s="36">
        <v>0.72389425767083704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3.09264126947046E-3</v>
      </c>
      <c r="D28">
        <v>6.4526595916681196E-4</v>
      </c>
      <c r="E28">
        <v>1.0136102709597001E-3</v>
      </c>
      <c r="F28">
        <v>8.1293837857753003E-4</v>
      </c>
      <c r="G28">
        <v>4.1200120210531502E-4</v>
      </c>
      <c r="H28">
        <v>6.3242569731021504E-4</v>
      </c>
      <c r="I28">
        <v>1.3572156782422099E-4</v>
      </c>
      <c r="J28">
        <v>2.60421910888197E-4</v>
      </c>
    </row>
    <row r="29" spans="2:10" x14ac:dyDescent="0.3">
      <c r="B29" t="s">
        <v>11</v>
      </c>
      <c r="C29">
        <v>3.1364479628378898E-4</v>
      </c>
      <c r="D29">
        <v>1.69679994351997E-2</v>
      </c>
      <c r="E29">
        <v>2.4639178476622298E-3</v>
      </c>
      <c r="F29">
        <v>1.44251781784287E-3</v>
      </c>
      <c r="G29">
        <v>3.0595989956261598E-3</v>
      </c>
      <c r="H29">
        <v>2.5690367913948999E-3</v>
      </c>
      <c r="I29">
        <v>1.1374759970029999E-3</v>
      </c>
      <c r="J29">
        <v>2.08277607488561E-3</v>
      </c>
    </row>
    <row r="30" spans="2:10" x14ac:dyDescent="0.3">
      <c r="B30" t="s">
        <v>12</v>
      </c>
      <c r="C30">
        <v>4.5696351903982898E-4</v>
      </c>
      <c r="D30">
        <v>2.6844493450492702E-3</v>
      </c>
      <c r="E30">
        <v>0.29196989925894401</v>
      </c>
      <c r="F30">
        <v>1.0508684307802599E-3</v>
      </c>
      <c r="G30">
        <v>4.9934066325388196E-3</v>
      </c>
      <c r="H30">
        <v>1.86858766685573E-2</v>
      </c>
      <c r="I30">
        <v>7.6873363709255502E-3</v>
      </c>
      <c r="J30">
        <v>1.1446451432062601E-2</v>
      </c>
    </row>
    <row r="31" spans="2:10" x14ac:dyDescent="0.3">
      <c r="B31" t="s">
        <v>5</v>
      </c>
      <c r="C31">
        <v>6.8094048669172099E-4</v>
      </c>
      <c r="D31">
        <v>1.81041272047077E-3</v>
      </c>
      <c r="E31">
        <v>6.7310792695919803E-4</v>
      </c>
      <c r="F31">
        <v>5.3547102007470097E-3</v>
      </c>
      <c r="G31">
        <v>5.6362971432621601E-3</v>
      </c>
      <c r="H31">
        <v>1.2119495157712501E-3</v>
      </c>
      <c r="I31">
        <v>6.4094307100842401E-4</v>
      </c>
      <c r="J31">
        <v>6.9129829792270898E-4</v>
      </c>
    </row>
    <row r="32" spans="2:10" x14ac:dyDescent="0.3">
      <c r="B32" t="s">
        <v>13</v>
      </c>
      <c r="C32">
        <v>3.06454249644095E-4</v>
      </c>
      <c r="D32">
        <v>3.1679922061322598E-3</v>
      </c>
      <c r="E32">
        <v>4.05354226550884E-3</v>
      </c>
      <c r="F32">
        <v>4.7637371487971704E-3</v>
      </c>
      <c r="G32">
        <v>5.8621017081849802E-2</v>
      </c>
      <c r="H32">
        <v>1.4054415617319399E-2</v>
      </c>
      <c r="I32">
        <v>7.1479383707663702E-3</v>
      </c>
      <c r="J32">
        <v>1.34373340329279E-2</v>
      </c>
    </row>
    <row r="33" spans="2:10" x14ac:dyDescent="0.3">
      <c r="B33" t="s">
        <v>14</v>
      </c>
      <c r="C33">
        <v>4.0733590696408499E-4</v>
      </c>
      <c r="D33">
        <v>3.35175775373658E-3</v>
      </c>
      <c r="E33">
        <v>1.88627298751954E-2</v>
      </c>
      <c r="F33">
        <v>1.3059402325615399E-3</v>
      </c>
      <c r="G33">
        <v>1.5454089761434101E-2</v>
      </c>
      <c r="H33">
        <v>8.6914063273257999E-2</v>
      </c>
      <c r="I33">
        <v>1.3316036359255899E-2</v>
      </c>
      <c r="J33">
        <v>1.9976836595619399E-2</v>
      </c>
    </row>
    <row r="34" spans="2:10" x14ac:dyDescent="0.3">
      <c r="B34" t="s">
        <v>8</v>
      </c>
      <c r="C34">
        <v>6.2617676987333895E-5</v>
      </c>
      <c r="D34">
        <v>1.3706979531916399E-3</v>
      </c>
      <c r="E34">
        <v>5.4925504117775701E-3</v>
      </c>
      <c r="F34">
        <v>1.5998966273318799E-4</v>
      </c>
      <c r="G34">
        <v>7.4330777857285202E-3</v>
      </c>
      <c r="H34">
        <v>1.4837778592754E-2</v>
      </c>
      <c r="I34">
        <v>2.01499019250099E-2</v>
      </c>
      <c r="J34">
        <v>1.8414561935527402E-2</v>
      </c>
    </row>
    <row r="35" spans="2:10" x14ac:dyDescent="0.3">
      <c r="B35" t="s">
        <v>9</v>
      </c>
      <c r="C35">
        <v>1.20998067561991E-4</v>
      </c>
      <c r="D35">
        <v>3.1648463419773898E-3</v>
      </c>
      <c r="E35">
        <v>8.3076708216541298E-3</v>
      </c>
      <c r="F35">
        <v>6.6619558599306295E-4</v>
      </c>
      <c r="G35">
        <v>1.41096929446121E-2</v>
      </c>
      <c r="H35">
        <v>2.6750545534575301E-2</v>
      </c>
      <c r="I35">
        <v>2.25939601676673E-2</v>
      </c>
      <c r="J35">
        <v>0.19850678882834699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-1.56343028365915E-3</v>
      </c>
    </row>
    <row r="41" spans="2:10" x14ac:dyDescent="0.3">
      <c r="B41" t="s">
        <v>11</v>
      </c>
      <c r="C41">
        <v>3.1264539590261701E-3</v>
      </c>
    </row>
    <row r="42" spans="2:10" x14ac:dyDescent="0.3">
      <c r="B42" t="s">
        <v>12</v>
      </c>
      <c r="C42">
        <v>-6.1382229792364996E-3</v>
      </c>
    </row>
    <row r="43" spans="2:10" x14ac:dyDescent="0.3">
      <c r="B43" t="s">
        <v>5</v>
      </c>
      <c r="C43">
        <v>-1.14276190480063E-3</v>
      </c>
    </row>
    <row r="44" spans="2:10" x14ac:dyDescent="0.3">
      <c r="B44" t="s">
        <v>13</v>
      </c>
      <c r="C44">
        <v>4.1667505742111503E-3</v>
      </c>
    </row>
    <row r="45" spans="2:10" x14ac:dyDescent="0.3">
      <c r="B45" t="s">
        <v>14</v>
      </c>
      <c r="C45">
        <v>6.0673019329152396E-3</v>
      </c>
    </row>
    <row r="46" spans="2:10" x14ac:dyDescent="0.3">
      <c r="B46" t="s">
        <v>8</v>
      </c>
      <c r="C46">
        <v>4.8881378857511702E-3</v>
      </c>
    </row>
    <row r="47" spans="2:10" x14ac:dyDescent="0.3">
      <c r="B47" t="s">
        <v>9</v>
      </c>
      <c r="C47">
        <v>-9.4042291842074098E-3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7"/>
  <sheetViews>
    <sheetView topLeftCell="A13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105598</v>
      </c>
      <c r="D4" s="4">
        <v>27516</v>
      </c>
      <c r="E4" s="4">
        <v>25702</v>
      </c>
      <c r="F4" s="4">
        <v>23106</v>
      </c>
      <c r="G4" s="4">
        <v>19872</v>
      </c>
      <c r="H4" s="5">
        <v>14424</v>
      </c>
      <c r="I4" s="4">
        <v>1288</v>
      </c>
      <c r="J4" s="4">
        <v>18346</v>
      </c>
      <c r="K4" s="15">
        <f>SUM(C4:J4)</f>
        <v>235852</v>
      </c>
      <c r="L4" s="18">
        <f>K4/$K$12</f>
        <v>6.3804358261963998E-3</v>
      </c>
    </row>
    <row r="5" spans="1:12" ht="29.4" thickBot="1" x14ac:dyDescent="0.35">
      <c r="A5" s="49"/>
      <c r="B5" s="13" t="s">
        <v>11</v>
      </c>
      <c r="C5" s="4">
        <v>14882</v>
      </c>
      <c r="D5" s="4">
        <v>619670</v>
      </c>
      <c r="E5" s="4">
        <v>87740</v>
      </c>
      <c r="F5" s="4">
        <v>29962</v>
      </c>
      <c r="G5" s="4">
        <v>86294</v>
      </c>
      <c r="H5" s="5">
        <v>104358</v>
      </c>
      <c r="I5" s="4">
        <v>63827</v>
      </c>
      <c r="J5" s="4">
        <v>237678</v>
      </c>
      <c r="K5" s="15">
        <f t="shared" ref="K5:K11" si="0">SUM(C5:J5)</f>
        <v>1244411</v>
      </c>
      <c r="L5" s="18">
        <f t="shared" ref="L5:L12" si="1">K5/$K$12</f>
        <v>3.366469025877622E-2</v>
      </c>
    </row>
    <row r="6" spans="1:12" ht="29.4" thickBot="1" x14ac:dyDescent="0.35">
      <c r="A6" s="49"/>
      <c r="B6" s="13" t="s">
        <v>12</v>
      </c>
      <c r="C6" s="4">
        <v>13612</v>
      </c>
      <c r="D6" s="4">
        <v>93198</v>
      </c>
      <c r="E6" s="4">
        <v>10367900</v>
      </c>
      <c r="F6" s="4">
        <v>33184</v>
      </c>
      <c r="G6" s="4">
        <v>186106</v>
      </c>
      <c r="H6" s="5">
        <v>563543</v>
      </c>
      <c r="I6" s="4">
        <v>267768</v>
      </c>
      <c r="J6" s="4">
        <v>597869</v>
      </c>
      <c r="K6" s="15">
        <f t="shared" si="0"/>
        <v>12123180</v>
      </c>
      <c r="L6" s="18">
        <f t="shared" si="1"/>
        <v>0.32796487627591742</v>
      </c>
    </row>
    <row r="7" spans="1:12" ht="29.4" thickBot="1" x14ac:dyDescent="0.35">
      <c r="A7" s="49"/>
      <c r="B7" s="13" t="s">
        <v>5</v>
      </c>
      <c r="C7" s="4">
        <v>22882</v>
      </c>
      <c r="D7" s="4">
        <v>60234</v>
      </c>
      <c r="E7" s="4">
        <v>35517</v>
      </c>
      <c r="F7" s="4">
        <v>159234</v>
      </c>
      <c r="G7" s="4">
        <v>214959</v>
      </c>
      <c r="H7" s="5">
        <v>45716</v>
      </c>
      <c r="I7" s="4">
        <v>30332</v>
      </c>
      <c r="J7" s="4">
        <v>77569</v>
      </c>
      <c r="K7" s="15">
        <f t="shared" si="0"/>
        <v>646443</v>
      </c>
      <c r="L7" s="18">
        <f t="shared" si="1"/>
        <v>1.7488035194926817E-2</v>
      </c>
    </row>
    <row r="8" spans="1:12" ht="43.8" thickBot="1" x14ac:dyDescent="0.35">
      <c r="A8" s="49"/>
      <c r="B8" s="13" t="s">
        <v>13</v>
      </c>
      <c r="C8" s="4">
        <v>7626</v>
      </c>
      <c r="D8" s="4">
        <v>87628</v>
      </c>
      <c r="E8" s="4">
        <v>127398</v>
      </c>
      <c r="F8" s="4">
        <v>111477</v>
      </c>
      <c r="G8" s="4">
        <v>2070224</v>
      </c>
      <c r="H8" s="5">
        <v>448435</v>
      </c>
      <c r="I8" s="4">
        <v>342791</v>
      </c>
      <c r="J8" s="4">
        <v>852611</v>
      </c>
      <c r="K8" s="15">
        <f t="shared" si="0"/>
        <v>4048190</v>
      </c>
      <c r="L8" s="18">
        <f t="shared" si="1"/>
        <v>0.10951451124963962</v>
      </c>
    </row>
    <row r="9" spans="1:12" ht="29.4" thickBot="1" x14ac:dyDescent="0.35">
      <c r="A9" s="49"/>
      <c r="B9" s="8" t="s">
        <v>14</v>
      </c>
      <c r="C9" s="6">
        <v>7490</v>
      </c>
      <c r="D9" s="6">
        <v>126421</v>
      </c>
      <c r="E9" s="6">
        <v>687394</v>
      </c>
      <c r="F9" s="6">
        <v>39957</v>
      </c>
      <c r="G9" s="6">
        <v>641140</v>
      </c>
      <c r="H9" s="7">
        <v>2743476</v>
      </c>
      <c r="I9" s="4">
        <v>679406</v>
      </c>
      <c r="J9" s="4">
        <v>1274460</v>
      </c>
      <c r="K9" s="15">
        <f t="shared" si="0"/>
        <v>6199744</v>
      </c>
      <c r="L9" s="18">
        <f t="shared" si="1"/>
        <v>0.16771987827470691</v>
      </c>
    </row>
    <row r="10" spans="1:12" ht="29.4" thickBot="1" x14ac:dyDescent="0.35">
      <c r="A10" s="49"/>
      <c r="B10" s="13" t="s">
        <v>8</v>
      </c>
      <c r="C10" s="4">
        <v>4296</v>
      </c>
      <c r="D10" s="4">
        <v>49940</v>
      </c>
      <c r="E10" s="4">
        <v>187264</v>
      </c>
      <c r="F10" s="4">
        <v>20378</v>
      </c>
      <c r="G10" s="4">
        <v>269724</v>
      </c>
      <c r="H10" s="4">
        <v>391762</v>
      </c>
      <c r="I10" s="4">
        <v>682539</v>
      </c>
      <c r="J10" s="4">
        <v>944619</v>
      </c>
      <c r="K10" s="15">
        <f t="shared" si="0"/>
        <v>2550522</v>
      </c>
      <c r="L10" s="18">
        <f t="shared" si="1"/>
        <v>6.8998532742152258E-2</v>
      </c>
    </row>
    <row r="11" spans="1:12" ht="15" thickBot="1" x14ac:dyDescent="0.35">
      <c r="A11" s="49"/>
      <c r="B11" s="13" t="s">
        <v>9</v>
      </c>
      <c r="C11" s="4">
        <v>1364</v>
      </c>
      <c r="D11" s="4">
        <v>68106</v>
      </c>
      <c r="E11" s="4">
        <v>249350</v>
      </c>
      <c r="F11" s="4">
        <v>30434</v>
      </c>
      <c r="G11" s="4">
        <v>521867</v>
      </c>
      <c r="H11" s="4">
        <v>762870</v>
      </c>
      <c r="I11" s="4">
        <v>653972</v>
      </c>
      <c r="J11" s="4">
        <v>7628568</v>
      </c>
      <c r="K11" s="15">
        <f t="shared" si="0"/>
        <v>9916531</v>
      </c>
      <c r="L11" s="18">
        <f t="shared" si="1"/>
        <v>0.26826904017768438</v>
      </c>
    </row>
    <row r="12" spans="1:12" ht="15" thickBot="1" x14ac:dyDescent="0.35">
      <c r="A12" s="50"/>
      <c r="B12" s="20" t="s">
        <v>18</v>
      </c>
      <c r="C12" s="21">
        <f>SUM(C4:C11)</f>
        <v>177750</v>
      </c>
      <c r="D12" s="21">
        <f t="shared" ref="D12:J12" si="2">SUM(D4:D11)</f>
        <v>1132713</v>
      </c>
      <c r="E12" s="21">
        <f t="shared" si="2"/>
        <v>11768265</v>
      </c>
      <c r="F12" s="21">
        <f t="shared" si="2"/>
        <v>447732</v>
      </c>
      <c r="G12" s="21">
        <f t="shared" si="2"/>
        <v>4010186</v>
      </c>
      <c r="H12" s="21">
        <f t="shared" si="2"/>
        <v>5074584</v>
      </c>
      <c r="I12" s="21">
        <f t="shared" si="2"/>
        <v>2721923</v>
      </c>
      <c r="J12" s="21">
        <f t="shared" si="2"/>
        <v>11631720</v>
      </c>
      <c r="K12" s="22">
        <f>SUM(K4:K11)</f>
        <v>36964873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4.8086192532028988E-3</v>
      </c>
      <c r="D13" s="18">
        <f t="shared" ref="D13:K13" si="3">D12/$K$12</f>
        <v>3.0642956625334544E-2</v>
      </c>
      <c r="E13" s="18">
        <f t="shared" si="3"/>
        <v>0.31836346360502848</v>
      </c>
      <c r="F13" s="18">
        <f t="shared" si="3"/>
        <v>1.2112364081434826E-2</v>
      </c>
      <c r="G13" s="18">
        <f t="shared" si="3"/>
        <v>0.10848640004795905</v>
      </c>
      <c r="H13" s="18">
        <f t="shared" si="3"/>
        <v>0.13728125077015685</v>
      </c>
      <c r="I13" s="18">
        <f t="shared" si="3"/>
        <v>7.3635394337754109E-2</v>
      </c>
      <c r="J13" s="18">
        <f t="shared" si="3"/>
        <v>0.31466955127912927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0.447729932330445</v>
      </c>
      <c r="D16" s="23">
        <v>0.116666384003528</v>
      </c>
      <c r="E16" s="23">
        <v>0.10897511999050299</v>
      </c>
      <c r="F16" s="23">
        <v>9.7968217356647402E-2</v>
      </c>
      <c r="G16" s="23">
        <v>8.4256228482268505E-2</v>
      </c>
      <c r="H16" s="24">
        <v>6.1156996760680399E-2</v>
      </c>
      <c r="I16" s="23">
        <v>5.4610518460729597E-3</v>
      </c>
      <c r="J16" s="32">
        <v>7.7786069229855995E-2</v>
      </c>
    </row>
    <row r="17" spans="2:10" ht="29.4" thickBot="1" x14ac:dyDescent="0.35">
      <c r="B17" s="31" t="s">
        <v>11</v>
      </c>
      <c r="C17" s="23">
        <v>1.1959071400043901E-2</v>
      </c>
      <c r="D17" s="23">
        <v>0.49796248988477299</v>
      </c>
      <c r="E17" s="23">
        <v>7.0507252025255304E-2</v>
      </c>
      <c r="F17" s="23">
        <v>2.4077254219064301E-2</v>
      </c>
      <c r="G17" s="23">
        <v>6.9345256510911599E-2</v>
      </c>
      <c r="H17" s="24">
        <v>8.3861360916931804E-2</v>
      </c>
      <c r="I17" s="23">
        <v>5.1290932015226498E-2</v>
      </c>
      <c r="J17" s="32">
        <v>0.19099638302779401</v>
      </c>
    </row>
    <row r="18" spans="2:10" ht="29.4" thickBot="1" x14ac:dyDescent="0.35">
      <c r="B18" s="31" t="s">
        <v>12</v>
      </c>
      <c r="C18" s="23">
        <v>1.1228077121679301E-3</v>
      </c>
      <c r="D18" s="23">
        <v>7.6875869202634997E-3</v>
      </c>
      <c r="E18" s="23">
        <v>0.85521290618468104</v>
      </c>
      <c r="F18" s="23">
        <v>2.7372356097987499E-3</v>
      </c>
      <c r="G18" s="23">
        <v>1.5351252724120201E-2</v>
      </c>
      <c r="H18" s="24">
        <v>4.64847507007237E-2</v>
      </c>
      <c r="I18" s="23">
        <v>2.2087274131044801E-2</v>
      </c>
      <c r="J18" s="32">
        <v>4.93161860172001E-2</v>
      </c>
    </row>
    <row r="19" spans="2:10" ht="29.4" thickBot="1" x14ac:dyDescent="0.35">
      <c r="B19" s="31" t="s">
        <v>5</v>
      </c>
      <c r="C19" s="23">
        <v>3.53967789890215E-2</v>
      </c>
      <c r="D19" s="23">
        <v>9.3177588743323103E-2</v>
      </c>
      <c r="E19" s="23">
        <v>5.4942199080197297E-2</v>
      </c>
      <c r="F19" s="23">
        <v>0.24632334173314599</v>
      </c>
      <c r="G19" s="23">
        <v>0.332525837544842</v>
      </c>
      <c r="H19" s="24">
        <v>7.0719305491744794E-2</v>
      </c>
      <c r="I19" s="23">
        <v>4.6921383633205103E-2</v>
      </c>
      <c r="J19" s="32">
        <v>0.119993564784521</v>
      </c>
    </row>
    <row r="20" spans="2:10" ht="43.8" thickBot="1" x14ac:dyDescent="0.35">
      <c r="B20" s="31" t="s">
        <v>13</v>
      </c>
      <c r="C20" s="23">
        <v>1.8838048609378501E-3</v>
      </c>
      <c r="D20" s="23">
        <v>2.16462171983034E-2</v>
      </c>
      <c r="E20" s="23">
        <v>3.1470360827925599E-2</v>
      </c>
      <c r="F20" s="23">
        <v>2.7537492064354699E-2</v>
      </c>
      <c r="G20" s="23">
        <v>0.51139496910965099</v>
      </c>
      <c r="H20" s="24">
        <v>0.110774197851385</v>
      </c>
      <c r="I20" s="23">
        <v>8.46775966543072E-2</v>
      </c>
      <c r="J20" s="32">
        <v>0.210615361433134</v>
      </c>
    </row>
    <row r="21" spans="2:10" ht="29.4" thickBot="1" x14ac:dyDescent="0.35">
      <c r="B21" s="33" t="s">
        <v>14</v>
      </c>
      <c r="C21" s="25">
        <v>1.2081143995623001E-3</v>
      </c>
      <c r="D21" s="25">
        <v>2.0391325835389301E-2</v>
      </c>
      <c r="E21" s="25">
        <v>0.110874578047094</v>
      </c>
      <c r="F21" s="25">
        <v>6.4449435331523398E-3</v>
      </c>
      <c r="G21" s="25">
        <v>0.103413947414603</v>
      </c>
      <c r="H21" s="26">
        <v>0.44251440059460501</v>
      </c>
      <c r="I21" s="23">
        <v>0.109586137750204</v>
      </c>
      <c r="J21" s="32">
        <v>0.20556655242538999</v>
      </c>
    </row>
    <row r="22" spans="2:10" ht="29.4" thickBot="1" x14ac:dyDescent="0.35">
      <c r="B22" s="31" t="s">
        <v>8</v>
      </c>
      <c r="C22" s="23">
        <v>1.6843610837311001E-3</v>
      </c>
      <c r="D22" s="23">
        <v>1.9580305521771601E-2</v>
      </c>
      <c r="E22" s="23">
        <v>7.34218328640176E-2</v>
      </c>
      <c r="F22" s="23">
        <v>7.98973700285667E-3</v>
      </c>
      <c r="G22" s="23">
        <v>0.10575246949448</v>
      </c>
      <c r="H22" s="23">
        <v>0.153600713893078</v>
      </c>
      <c r="I22" s="23">
        <v>0.26760757209700597</v>
      </c>
      <c r="J22" s="32">
        <v>0.37036300804305899</v>
      </c>
    </row>
    <row r="23" spans="2:10" ht="15" thickBot="1" x14ac:dyDescent="0.35">
      <c r="B23" s="34" t="s">
        <v>9</v>
      </c>
      <c r="C23" s="35">
        <v>1.37548100237876E-4</v>
      </c>
      <c r="D23" s="35">
        <v>6.8679258906163901E-3</v>
      </c>
      <c r="E23" s="35">
        <v>2.5144881814013399E-2</v>
      </c>
      <c r="F23" s="35">
        <v>3.0690167761286699E-3</v>
      </c>
      <c r="G23" s="35">
        <v>5.2625963656040602E-2</v>
      </c>
      <c r="H23" s="35">
        <v>7.6929119668964902E-2</v>
      </c>
      <c r="I23" s="35">
        <v>6.5947658510824E-2</v>
      </c>
      <c r="J23" s="36">
        <v>0.769277885583174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2.8567121007016601E-3</v>
      </c>
      <c r="D28">
        <v>7.4438237620889404E-4</v>
      </c>
      <c r="E28">
        <v>6.9530875975145397E-4</v>
      </c>
      <c r="F28">
        <v>6.2507992385094904E-4</v>
      </c>
      <c r="G28">
        <v>5.3759145878845603E-4</v>
      </c>
      <c r="H28">
        <v>3.9020829315442301E-4</v>
      </c>
      <c r="I28">
        <v>3.4843890847399902E-5</v>
      </c>
      <c r="J28">
        <v>4.9630902289316697E-4</v>
      </c>
    </row>
    <row r="29" spans="2:10" x14ac:dyDescent="0.3">
      <c r="B29" t="s">
        <v>11</v>
      </c>
      <c r="C29">
        <v>4.0259843446506603E-4</v>
      </c>
      <c r="D29">
        <v>1.6763752982459901E-2</v>
      </c>
      <c r="E29">
        <v>2.3736048004276899E-3</v>
      </c>
      <c r="F29">
        <v>8.1055330556661204E-4</v>
      </c>
      <c r="G29">
        <v>2.3344865813552198E-3</v>
      </c>
      <c r="H29">
        <v>2.8231667399479499E-3</v>
      </c>
      <c r="I29">
        <v>1.7266933393765499E-3</v>
      </c>
      <c r="J29">
        <v>6.42983407517726E-3</v>
      </c>
    </row>
    <row r="30" spans="2:10" x14ac:dyDescent="0.3">
      <c r="B30" t="s">
        <v>12</v>
      </c>
      <c r="C30">
        <v>3.6824149240280099E-4</v>
      </c>
      <c r="D30">
        <v>2.5212584931645801E-3</v>
      </c>
      <c r="E30">
        <v>0.280479794966427</v>
      </c>
      <c r="F30">
        <v>8.9771713810568197E-4</v>
      </c>
      <c r="G30">
        <v>5.0346717003464303E-3</v>
      </c>
      <c r="H30">
        <v>1.52453655122797E-2</v>
      </c>
      <c r="I30">
        <v>7.2438501276603897E-3</v>
      </c>
      <c r="J30">
        <v>1.61739768455312E-2</v>
      </c>
    </row>
    <row r="31" spans="2:10" x14ac:dyDescent="0.3">
      <c r="B31" t="s">
        <v>5</v>
      </c>
      <c r="C31">
        <v>6.1902011674705296E-4</v>
      </c>
      <c r="D31">
        <v>1.6294929513216501E-3</v>
      </c>
      <c r="E31">
        <v>9.6083111120116697E-4</v>
      </c>
      <c r="F31">
        <v>4.3077112695612402E-3</v>
      </c>
      <c r="G31">
        <v>5.8152235502067096E-3</v>
      </c>
      <c r="H31">
        <v>1.2367417034004099E-3</v>
      </c>
      <c r="I31">
        <v>8.2056280837215399E-4</v>
      </c>
      <c r="J31">
        <v>2.09845168411643E-3</v>
      </c>
    </row>
    <row r="32" spans="2:10" x14ac:dyDescent="0.3">
      <c r="B32" t="s">
        <v>13</v>
      </c>
      <c r="C32">
        <v>2.0630396863530401E-4</v>
      </c>
      <c r="D32">
        <v>2.3705748968757402E-3</v>
      </c>
      <c r="E32">
        <v>3.4464611849200702E-3</v>
      </c>
      <c r="F32">
        <v>3.0157549844686301E-3</v>
      </c>
      <c r="G32">
        <v>5.6005170097568002E-2</v>
      </c>
      <c r="H32">
        <v>1.2131382136765401E-2</v>
      </c>
      <c r="I32">
        <v>9.2734256113905806E-3</v>
      </c>
      <c r="J32">
        <v>2.3065438369015898E-2</v>
      </c>
    </row>
    <row r="33" spans="2:10" x14ac:dyDescent="0.3">
      <c r="B33" t="s">
        <v>14</v>
      </c>
      <c r="C33">
        <v>2.0262480003651001E-4</v>
      </c>
      <c r="D33">
        <v>3.4200306869713801E-3</v>
      </c>
      <c r="E33">
        <v>1.8595870733818E-2</v>
      </c>
      <c r="F33">
        <v>1.08094514486767E-3</v>
      </c>
      <c r="G33">
        <v>1.7344574672284101E-2</v>
      </c>
      <c r="H33">
        <v>7.4218461402532104E-2</v>
      </c>
      <c r="I33">
        <v>1.8379773684059499E-2</v>
      </c>
      <c r="J33">
        <v>3.4477597150137602E-2</v>
      </c>
    </row>
    <row r="34" spans="2:10" x14ac:dyDescent="0.3">
      <c r="B34" t="s">
        <v>8</v>
      </c>
      <c r="C34">
        <v>1.16218443385427E-4</v>
      </c>
      <c r="D34">
        <v>1.3510123516453001E-3</v>
      </c>
      <c r="E34">
        <v>5.0659987388567496E-3</v>
      </c>
      <c r="F34">
        <v>5.5128013019279103E-4</v>
      </c>
      <c r="G34">
        <v>7.2967652289783304E-3</v>
      </c>
      <c r="H34">
        <v>1.05982238867695E-2</v>
      </c>
      <c r="I34">
        <v>1.8464529825383099E-2</v>
      </c>
      <c r="J34">
        <v>2.5554504136940999E-2</v>
      </c>
    </row>
    <row r="35" spans="2:10" x14ac:dyDescent="0.3">
      <c r="B35" t="s">
        <v>9</v>
      </c>
      <c r="C35">
        <v>3.6899896829078801E-5</v>
      </c>
      <c r="D35">
        <v>1.8424518866871299E-3</v>
      </c>
      <c r="E35">
        <v>6.7455933096266796E-3</v>
      </c>
      <c r="F35">
        <v>8.2332218482124905E-4</v>
      </c>
      <c r="G35">
        <v>1.4117916758431701E-2</v>
      </c>
      <c r="H35">
        <v>2.0637701095307399E-2</v>
      </c>
      <c r="I35">
        <v>1.7691715050664501E-2</v>
      </c>
      <c r="J35">
        <v>0.20637343999531699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-1.5718165729935001E-3</v>
      </c>
    </row>
    <row r="41" spans="2:10" x14ac:dyDescent="0.3">
      <c r="B41" t="s">
        <v>11</v>
      </c>
      <c r="C41">
        <v>-3.0217336334416802E-3</v>
      </c>
    </row>
    <row r="42" spans="2:10" x14ac:dyDescent="0.3">
      <c r="B42" t="s">
        <v>12</v>
      </c>
      <c r="C42">
        <v>-9.6014126708889296E-3</v>
      </c>
    </row>
    <row r="43" spans="2:10" x14ac:dyDescent="0.3">
      <c r="B43" t="s">
        <v>5</v>
      </c>
      <c r="C43">
        <v>-5.3756711134919904E-3</v>
      </c>
    </row>
    <row r="44" spans="2:10" x14ac:dyDescent="0.3">
      <c r="B44" t="s">
        <v>13</v>
      </c>
      <c r="C44">
        <v>-1.02811120168057E-3</v>
      </c>
    </row>
    <row r="45" spans="2:10" x14ac:dyDescent="0.3">
      <c r="B45" t="s">
        <v>14</v>
      </c>
      <c r="C45">
        <v>-3.0438627504550099E-2</v>
      </c>
    </row>
    <row r="46" spans="2:10" x14ac:dyDescent="0.3">
      <c r="B46" t="s">
        <v>8</v>
      </c>
      <c r="C46">
        <v>4.6368615956018499E-3</v>
      </c>
    </row>
    <row r="47" spans="2:10" x14ac:dyDescent="0.3">
      <c r="B47" t="s">
        <v>9</v>
      </c>
      <c r="C47">
        <v>4.64005111014449E-2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7"/>
  <sheetViews>
    <sheetView topLeftCell="A10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64894</v>
      </c>
      <c r="D4" s="4">
        <v>14451</v>
      </c>
      <c r="E4" s="4">
        <v>19988</v>
      </c>
      <c r="F4" s="4">
        <v>27845</v>
      </c>
      <c r="G4" s="4">
        <v>30726</v>
      </c>
      <c r="H4" s="5">
        <v>4946</v>
      </c>
      <c r="I4" s="4">
        <v>2580</v>
      </c>
      <c r="J4" s="4">
        <v>1150</v>
      </c>
      <c r="K4" s="15">
        <f>SUM(C4:J4)</f>
        <v>166580</v>
      </c>
      <c r="L4" s="18">
        <f>K4/$K$12</f>
        <v>4.9515298199923619E-3</v>
      </c>
    </row>
    <row r="5" spans="1:12" ht="29.4" thickBot="1" x14ac:dyDescent="0.35">
      <c r="A5" s="49"/>
      <c r="B5" s="13" t="s">
        <v>11</v>
      </c>
      <c r="C5" s="4">
        <v>10532</v>
      </c>
      <c r="D5" s="4">
        <v>621829</v>
      </c>
      <c r="E5" s="4">
        <v>60480</v>
      </c>
      <c r="F5" s="4">
        <v>35663</v>
      </c>
      <c r="G5" s="4">
        <v>85750</v>
      </c>
      <c r="H5" s="5">
        <v>89274</v>
      </c>
      <c r="I5" s="4">
        <v>35736</v>
      </c>
      <c r="J5" s="4">
        <v>52535</v>
      </c>
      <c r="K5" s="15">
        <f t="shared" ref="K5:K11" si="0">SUM(C5:J5)</f>
        <v>991799</v>
      </c>
      <c r="L5" s="18">
        <f t="shared" ref="L5:L12" si="1">K5/$K$12</f>
        <v>2.9480863992907939E-2</v>
      </c>
    </row>
    <row r="6" spans="1:12" ht="29.4" thickBot="1" x14ac:dyDescent="0.35">
      <c r="A6" s="49"/>
      <c r="B6" s="13" t="s">
        <v>12</v>
      </c>
      <c r="C6" s="4">
        <v>12970</v>
      </c>
      <c r="D6" s="4">
        <v>81979</v>
      </c>
      <c r="E6" s="4">
        <v>9453131</v>
      </c>
      <c r="F6" s="4">
        <v>36344</v>
      </c>
      <c r="G6" s="4">
        <v>144586</v>
      </c>
      <c r="H6" s="5">
        <v>493647</v>
      </c>
      <c r="I6" s="4">
        <v>122278</v>
      </c>
      <c r="J6" s="4">
        <v>296908</v>
      </c>
      <c r="K6" s="15">
        <f t="shared" si="0"/>
        <v>10641843</v>
      </c>
      <c r="L6" s="18">
        <f t="shared" si="1"/>
        <v>0.31632490667653368</v>
      </c>
    </row>
    <row r="7" spans="1:12" ht="29.4" thickBot="1" x14ac:dyDescent="0.35">
      <c r="A7" s="49"/>
      <c r="B7" s="13" t="s">
        <v>5</v>
      </c>
      <c r="C7" s="4">
        <v>10168</v>
      </c>
      <c r="D7" s="4">
        <v>24852</v>
      </c>
      <c r="E7" s="4">
        <v>29672</v>
      </c>
      <c r="F7" s="4">
        <v>188591</v>
      </c>
      <c r="G7" s="4">
        <v>99964</v>
      </c>
      <c r="H7" s="5">
        <v>80805</v>
      </c>
      <c r="I7" s="4">
        <v>31662</v>
      </c>
      <c r="J7" s="4">
        <v>16738</v>
      </c>
      <c r="K7" s="15">
        <f t="shared" si="0"/>
        <v>482452</v>
      </c>
      <c r="L7" s="18">
        <f t="shared" si="1"/>
        <v>1.4340709957467614E-2</v>
      </c>
    </row>
    <row r="8" spans="1:12" ht="43.8" thickBot="1" x14ac:dyDescent="0.35">
      <c r="A8" s="49"/>
      <c r="B8" s="13" t="s">
        <v>13</v>
      </c>
      <c r="C8" s="4">
        <v>10442</v>
      </c>
      <c r="D8" s="4">
        <v>109646</v>
      </c>
      <c r="E8" s="4">
        <v>193825</v>
      </c>
      <c r="F8" s="4">
        <v>224283</v>
      </c>
      <c r="G8" s="4">
        <v>2016676</v>
      </c>
      <c r="H8" s="5">
        <v>599992</v>
      </c>
      <c r="I8" s="4">
        <v>210896</v>
      </c>
      <c r="J8" s="4">
        <v>495329</v>
      </c>
      <c r="K8" s="15">
        <f t="shared" si="0"/>
        <v>3861089</v>
      </c>
      <c r="L8" s="18">
        <f t="shared" si="1"/>
        <v>0.11476946404817198</v>
      </c>
    </row>
    <row r="9" spans="1:12" ht="29.4" thickBot="1" x14ac:dyDescent="0.35">
      <c r="A9" s="49"/>
      <c r="B9" s="8" t="s">
        <v>14</v>
      </c>
      <c r="C9" s="6">
        <v>8688</v>
      </c>
      <c r="D9" s="6">
        <v>88989</v>
      </c>
      <c r="E9" s="6">
        <v>572650</v>
      </c>
      <c r="F9" s="6">
        <v>53178</v>
      </c>
      <c r="G9" s="6">
        <v>490852</v>
      </c>
      <c r="H9" s="7">
        <v>2422432</v>
      </c>
      <c r="I9" s="4">
        <v>335057</v>
      </c>
      <c r="J9" s="4">
        <v>585714</v>
      </c>
      <c r="K9" s="15">
        <f t="shared" si="0"/>
        <v>4557560</v>
      </c>
      <c r="L9" s="18">
        <f t="shared" si="1"/>
        <v>0.13547181082005277</v>
      </c>
    </row>
    <row r="10" spans="1:12" ht="29.4" thickBot="1" x14ac:dyDescent="0.35">
      <c r="A10" s="49"/>
      <c r="B10" s="13" t="s">
        <v>8</v>
      </c>
      <c r="C10" s="4">
        <v>338</v>
      </c>
      <c r="D10" s="4">
        <v>87328</v>
      </c>
      <c r="E10" s="4">
        <v>162160</v>
      </c>
      <c r="F10" s="4">
        <v>36464</v>
      </c>
      <c r="G10" s="4">
        <v>348891</v>
      </c>
      <c r="H10" s="4">
        <v>609324</v>
      </c>
      <c r="I10" s="4">
        <v>628858</v>
      </c>
      <c r="J10" s="4">
        <v>616229</v>
      </c>
      <c r="K10" s="15">
        <f t="shared" si="0"/>
        <v>2489592</v>
      </c>
      <c r="L10" s="18">
        <f t="shared" si="1"/>
        <v>7.4002215317651721E-2</v>
      </c>
    </row>
    <row r="11" spans="1:12" ht="15" thickBot="1" x14ac:dyDescent="0.35">
      <c r="A11" s="49"/>
      <c r="B11" s="13" t="s">
        <v>9</v>
      </c>
      <c r="C11" s="4">
        <v>9840</v>
      </c>
      <c r="D11" s="4">
        <v>149923</v>
      </c>
      <c r="E11" s="4">
        <v>493186</v>
      </c>
      <c r="F11" s="4">
        <v>59621</v>
      </c>
      <c r="G11" s="4">
        <v>888759</v>
      </c>
      <c r="H11" s="4">
        <v>1141603</v>
      </c>
      <c r="I11" s="4">
        <v>718143</v>
      </c>
      <c r="J11" s="4">
        <v>6990138</v>
      </c>
      <c r="K11" s="15">
        <f t="shared" si="0"/>
        <v>10451213</v>
      </c>
      <c r="L11" s="18">
        <f t="shared" si="1"/>
        <v>0.31065849936722195</v>
      </c>
    </row>
    <row r="12" spans="1:12" ht="15" thickBot="1" x14ac:dyDescent="0.35">
      <c r="A12" s="50"/>
      <c r="B12" s="20" t="s">
        <v>18</v>
      </c>
      <c r="C12" s="21">
        <f>SUM(C4:C11)</f>
        <v>127872</v>
      </c>
      <c r="D12" s="21">
        <f t="shared" ref="D12:J12" si="2">SUM(D4:D11)</f>
        <v>1178997</v>
      </c>
      <c r="E12" s="21">
        <f t="shared" si="2"/>
        <v>10985092</v>
      </c>
      <c r="F12" s="21">
        <f t="shared" si="2"/>
        <v>661989</v>
      </c>
      <c r="G12" s="21">
        <f t="shared" si="2"/>
        <v>4106204</v>
      </c>
      <c r="H12" s="21">
        <f t="shared" si="2"/>
        <v>5442023</v>
      </c>
      <c r="I12" s="21">
        <f t="shared" si="2"/>
        <v>2085210</v>
      </c>
      <c r="J12" s="21">
        <f t="shared" si="2"/>
        <v>9054741</v>
      </c>
      <c r="K12" s="22">
        <f>SUM(K4:K11)</f>
        <v>33642128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3.8009486201348499E-3</v>
      </c>
      <c r="D13" s="18">
        <f t="shared" ref="D13:K13" si="3">D12/$K$12</f>
        <v>3.5045256352392452E-2</v>
      </c>
      <c r="E13" s="18">
        <f t="shared" si="3"/>
        <v>0.32652785816640373</v>
      </c>
      <c r="F13" s="18">
        <f t="shared" si="3"/>
        <v>1.9677381882620505E-2</v>
      </c>
      <c r="G13" s="18">
        <f t="shared" si="3"/>
        <v>0.12205541813526184</v>
      </c>
      <c r="H13" s="18">
        <f t="shared" si="3"/>
        <v>0.1617621513121881</v>
      </c>
      <c r="I13" s="18">
        <f t="shared" si="3"/>
        <v>6.1982107671666904E-2</v>
      </c>
      <c r="J13" s="18">
        <f t="shared" si="3"/>
        <v>0.26914887785933161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0.38956657461880201</v>
      </c>
      <c r="D16" s="23">
        <v>8.6751110577500304E-2</v>
      </c>
      <c r="E16" s="23">
        <v>0.119990395005403</v>
      </c>
      <c r="F16" s="23">
        <v>0.16715692159923201</v>
      </c>
      <c r="G16" s="23">
        <v>0.18445191499579799</v>
      </c>
      <c r="H16" s="24">
        <v>2.9691439548565301E-2</v>
      </c>
      <c r="I16" s="23">
        <v>1.54880537879697E-2</v>
      </c>
      <c r="J16" s="32">
        <v>6.9035898667307001E-3</v>
      </c>
    </row>
    <row r="17" spans="2:10" ht="29.4" thickBot="1" x14ac:dyDescent="0.35">
      <c r="B17" s="31" t="s">
        <v>11</v>
      </c>
      <c r="C17" s="23">
        <v>1.06190871335825E-2</v>
      </c>
      <c r="D17" s="23">
        <v>0.62697078742769496</v>
      </c>
      <c r="E17" s="23">
        <v>6.0980097781909402E-2</v>
      </c>
      <c r="F17" s="23">
        <v>3.5957890661313399E-2</v>
      </c>
      <c r="G17" s="23">
        <v>8.6459050674582205E-2</v>
      </c>
      <c r="H17" s="24">
        <v>9.0012189969943507E-2</v>
      </c>
      <c r="I17" s="23">
        <v>3.60314942846282E-2</v>
      </c>
      <c r="J17" s="32">
        <v>5.2969402066346101E-2</v>
      </c>
    </row>
    <row r="18" spans="2:10" ht="29.4" thickBot="1" x14ac:dyDescent="0.35">
      <c r="B18" s="31" t="s">
        <v>12</v>
      </c>
      <c r="C18" s="23">
        <v>1.21877385336356E-3</v>
      </c>
      <c r="D18" s="23">
        <v>7.7034588839545899E-3</v>
      </c>
      <c r="E18" s="23">
        <v>0.88829829569934504</v>
      </c>
      <c r="F18" s="23">
        <v>3.4151979126172002E-3</v>
      </c>
      <c r="G18" s="23">
        <v>1.35865563887759E-2</v>
      </c>
      <c r="H18" s="24">
        <v>4.6387359783451002E-2</v>
      </c>
      <c r="I18" s="23">
        <v>1.1490302948464801E-2</v>
      </c>
      <c r="J18" s="32">
        <v>2.79000545300283E-2</v>
      </c>
    </row>
    <row r="19" spans="2:10" ht="29.4" thickBot="1" x14ac:dyDescent="0.35">
      <c r="B19" s="31" t="s">
        <v>5</v>
      </c>
      <c r="C19" s="23">
        <v>2.1075671776674201E-2</v>
      </c>
      <c r="D19" s="23">
        <v>5.1511860247237001E-2</v>
      </c>
      <c r="E19" s="23">
        <v>6.1502491439562899E-2</v>
      </c>
      <c r="F19" s="23">
        <v>0.39090106373276501</v>
      </c>
      <c r="G19" s="23">
        <v>0.207199887242669</v>
      </c>
      <c r="H19" s="24">
        <v>0.16748816462570401</v>
      </c>
      <c r="I19" s="23">
        <v>6.5627254110253497E-2</v>
      </c>
      <c r="J19" s="32">
        <v>3.46936068251349E-2</v>
      </c>
    </row>
    <row r="20" spans="2:10" ht="43.8" thickBot="1" x14ac:dyDescent="0.35">
      <c r="B20" s="31" t="s">
        <v>13</v>
      </c>
      <c r="C20" s="23">
        <v>2.7044183648706399E-3</v>
      </c>
      <c r="D20" s="23">
        <v>2.8397687802586301E-2</v>
      </c>
      <c r="E20" s="23">
        <v>5.0199568049324898E-2</v>
      </c>
      <c r="F20" s="23">
        <v>5.8088016101156999E-2</v>
      </c>
      <c r="G20" s="23">
        <v>0.52230756659584898</v>
      </c>
      <c r="H20" s="24">
        <v>0.15539450139585001</v>
      </c>
      <c r="I20" s="23">
        <v>5.46208595554259E-2</v>
      </c>
      <c r="J20" s="32">
        <v>0.12828738213493701</v>
      </c>
    </row>
    <row r="21" spans="2:10" ht="29.4" thickBot="1" x14ac:dyDescent="0.35">
      <c r="B21" s="33" t="s">
        <v>14</v>
      </c>
      <c r="C21" s="25">
        <v>1.9062831866174001E-3</v>
      </c>
      <c r="D21" s="25">
        <v>1.9525579476737599E-2</v>
      </c>
      <c r="E21" s="25">
        <v>0.12564837325235401</v>
      </c>
      <c r="F21" s="25">
        <v>1.1668085554551099E-2</v>
      </c>
      <c r="G21" s="25">
        <v>0.107700611730838</v>
      </c>
      <c r="H21" s="26">
        <v>0.53151949727485803</v>
      </c>
      <c r="I21" s="23">
        <v>7.35167501908916E-2</v>
      </c>
      <c r="J21" s="32">
        <v>0.12851481933315201</v>
      </c>
    </row>
    <row r="22" spans="2:10" ht="29.4" thickBot="1" x14ac:dyDescent="0.35">
      <c r="B22" s="31" t="s">
        <v>8</v>
      </c>
      <c r="C22" s="23">
        <v>1.3576521775455599E-4</v>
      </c>
      <c r="D22" s="23">
        <v>3.50772335386682E-2</v>
      </c>
      <c r="E22" s="23">
        <v>6.5135170742836604E-2</v>
      </c>
      <c r="F22" s="23">
        <v>1.4646576627816901E-2</v>
      </c>
      <c r="G22" s="23">
        <v>0.140139830140842</v>
      </c>
      <c r="H22" s="23">
        <v>0.24474853710969499</v>
      </c>
      <c r="I22" s="23">
        <v>0.25259480268252799</v>
      </c>
      <c r="J22" s="32">
        <v>0.247522083939858</v>
      </c>
    </row>
    <row r="23" spans="2:10" ht="15" thickBot="1" x14ac:dyDescent="0.35">
      <c r="B23" s="34" t="s">
        <v>9</v>
      </c>
      <c r="C23" s="35">
        <v>9.4151750614976501E-4</v>
      </c>
      <c r="D23" s="35">
        <v>1.43450334425296E-2</v>
      </c>
      <c r="E23" s="35">
        <v>4.7189354958127802E-2</v>
      </c>
      <c r="F23" s="35">
        <v>5.7046966701377096E-3</v>
      </c>
      <c r="G23" s="35">
        <v>8.5038837118715294E-2</v>
      </c>
      <c r="H23" s="35">
        <v>0.10923162698913499</v>
      </c>
      <c r="I23" s="35">
        <v>6.8713842115742899E-2</v>
      </c>
      <c r="J23" s="36">
        <v>0.66883509119946205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1.92895051109728E-3</v>
      </c>
      <c r="D28">
        <v>4.29550710941948E-4</v>
      </c>
      <c r="E28">
        <v>5.9413601898191499E-4</v>
      </c>
      <c r="F28">
        <v>8.2768248191672099E-4</v>
      </c>
      <c r="G28">
        <v>9.1331915745638897E-4</v>
      </c>
      <c r="H28">
        <v>1.47018048323221E-4</v>
      </c>
      <c r="I28">
        <v>7.6689560184777794E-5</v>
      </c>
      <c r="J28">
        <v>3.4183331090114202E-5</v>
      </c>
    </row>
    <row r="29" spans="2:10" x14ac:dyDescent="0.3">
      <c r="B29" t="s">
        <v>11</v>
      </c>
      <c r="C29">
        <v>3.1305986351398501E-4</v>
      </c>
      <c r="D29">
        <v>1.84836405116823E-2</v>
      </c>
      <c r="E29">
        <v>1.7977459689827E-3</v>
      </c>
      <c r="F29">
        <v>1.0600696840580401E-3</v>
      </c>
      <c r="G29">
        <v>2.54888751389329E-3</v>
      </c>
      <c r="H29">
        <v>2.6536371302077E-3</v>
      </c>
      <c r="I29">
        <v>1.0622395824663601E-3</v>
      </c>
      <c r="J29">
        <v>1.56158373810361E-3</v>
      </c>
    </row>
    <row r="30" spans="2:10" x14ac:dyDescent="0.3">
      <c r="B30" t="s">
        <v>12</v>
      </c>
      <c r="C30">
        <v>3.85528525425027E-4</v>
      </c>
      <c r="D30">
        <v>2.4367959125534502E-3</v>
      </c>
      <c r="E30">
        <v>0.28099087548801899</v>
      </c>
      <c r="F30">
        <v>1.0803121609905301E-3</v>
      </c>
      <c r="G30">
        <v>4.2977661817350001E-3</v>
      </c>
      <c r="H30">
        <v>1.46734772544709E-2</v>
      </c>
      <c r="I30">
        <v>3.6346690078582402E-3</v>
      </c>
      <c r="J30">
        <v>8.8254821454814003E-3</v>
      </c>
    </row>
    <row r="31" spans="2:10" x14ac:dyDescent="0.3">
      <c r="B31" t="s">
        <v>5</v>
      </c>
      <c r="C31">
        <v>3.0224009610807002E-4</v>
      </c>
      <c r="D31">
        <v>7.3871664717523196E-4</v>
      </c>
      <c r="E31">
        <v>8.8198939139640597E-4</v>
      </c>
      <c r="F31">
        <v>5.6057987770571499E-3</v>
      </c>
      <c r="G31">
        <v>2.9713934861671102E-3</v>
      </c>
      <c r="H31">
        <v>2.4018991902058002E-3</v>
      </c>
      <c r="I31">
        <v>9.4114141650016904E-4</v>
      </c>
      <c r="J31">
        <v>4.9753095285767898E-4</v>
      </c>
    </row>
    <row r="32" spans="2:10" x14ac:dyDescent="0.3">
      <c r="B32" t="s">
        <v>13</v>
      </c>
      <c r="C32">
        <v>3.1038464629823702E-4</v>
      </c>
      <c r="D32">
        <v>3.2591874093101398E-3</v>
      </c>
      <c r="E32">
        <v>5.7613775204707601E-3</v>
      </c>
      <c r="F32">
        <v>6.66673047555137E-3</v>
      </c>
      <c r="G32">
        <v>5.9944959486510498E-2</v>
      </c>
      <c r="H32">
        <v>1.7834543641234601E-2</v>
      </c>
      <c r="I32">
        <v>6.2688067770267104E-3</v>
      </c>
      <c r="J32">
        <v>1.47234740917697E-2</v>
      </c>
    </row>
    <row r="33" spans="2:10" x14ac:dyDescent="0.3">
      <c r="B33" t="s">
        <v>14</v>
      </c>
      <c r="C33">
        <v>2.5824763522688002E-4</v>
      </c>
      <c r="D33">
        <v>2.6451656090244898E-3</v>
      </c>
      <c r="E33">
        <v>1.70218126510903E-2</v>
      </c>
      <c r="F33">
        <v>1.58069667887834E-3</v>
      </c>
      <c r="G33">
        <v>1.4590396897604101E-2</v>
      </c>
      <c r="H33">
        <v>7.2005908781989106E-2</v>
      </c>
      <c r="I33">
        <v>9.9594472739655496E-3</v>
      </c>
      <c r="J33">
        <v>1.7410135292274E-2</v>
      </c>
    </row>
    <row r="34" spans="2:10" x14ac:dyDescent="0.3">
      <c r="B34" t="s">
        <v>8</v>
      </c>
      <c r="C34">
        <v>1.0046926876920499E-5</v>
      </c>
      <c r="D34">
        <v>2.5957929890760801E-3</v>
      </c>
      <c r="E34">
        <v>4.8201469300634004E-3</v>
      </c>
      <c r="F34">
        <v>1.08387911727819E-3</v>
      </c>
      <c r="G34">
        <v>1.0370657884661801E-2</v>
      </c>
      <c r="H34">
        <v>1.81119339418719E-2</v>
      </c>
      <c r="I34">
        <v>1.8692574976232199E-2</v>
      </c>
      <c r="J34">
        <v>1.8317182551591302E-2</v>
      </c>
    </row>
    <row r="35" spans="2:10" x14ac:dyDescent="0.3">
      <c r="B35" t="s">
        <v>9</v>
      </c>
      <c r="C35">
        <v>2.9249041558845499E-4</v>
      </c>
      <c r="D35">
        <v>4.4564065626288597E-3</v>
      </c>
      <c r="E35">
        <v>1.46597741973992E-2</v>
      </c>
      <c r="F35">
        <v>1.77221250689017E-3</v>
      </c>
      <c r="G35">
        <v>2.64180375272337E-2</v>
      </c>
      <c r="H35">
        <v>3.3933733323884899E-2</v>
      </c>
      <c r="I35">
        <v>2.1346539077432902E-2</v>
      </c>
      <c r="J35">
        <v>0.20777930575616399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-1.15058119985751E-3</v>
      </c>
    </row>
    <row r="41" spans="2:10" x14ac:dyDescent="0.3">
      <c r="B41" t="s">
        <v>11</v>
      </c>
      <c r="C41">
        <v>5.5643923594845103E-3</v>
      </c>
    </row>
    <row r="42" spans="2:10" x14ac:dyDescent="0.3">
      <c r="B42" t="s">
        <v>12</v>
      </c>
      <c r="C42">
        <v>1.0202951489870001E-2</v>
      </c>
    </row>
    <row r="43" spans="2:10" x14ac:dyDescent="0.3">
      <c r="B43" t="s">
        <v>5</v>
      </c>
      <c r="C43">
        <v>5.3366719251528904E-3</v>
      </c>
    </row>
    <row r="44" spans="2:10" x14ac:dyDescent="0.3">
      <c r="B44" t="s">
        <v>13</v>
      </c>
      <c r="C44">
        <v>7.2859540870898604E-3</v>
      </c>
    </row>
    <row r="45" spans="2:10" x14ac:dyDescent="0.3">
      <c r="B45" t="s">
        <v>14</v>
      </c>
      <c r="C45">
        <v>2.62903404921353E-2</v>
      </c>
    </row>
    <row r="46" spans="2:10" x14ac:dyDescent="0.3">
      <c r="B46" t="s">
        <v>8</v>
      </c>
      <c r="C46">
        <v>-1.2020107645984801E-2</v>
      </c>
    </row>
    <row r="47" spans="2:10" x14ac:dyDescent="0.3">
      <c r="B47" t="s">
        <v>9</v>
      </c>
      <c r="C47">
        <v>-4.1509621507890303E-2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7"/>
  <sheetViews>
    <sheetView topLeftCell="A10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89122</v>
      </c>
      <c r="D4" s="4">
        <v>20330</v>
      </c>
      <c r="E4" s="4">
        <v>19354</v>
      </c>
      <c r="F4" s="4">
        <v>33448</v>
      </c>
      <c r="G4" s="4">
        <v>14874</v>
      </c>
      <c r="H4" s="5">
        <v>18600</v>
      </c>
      <c r="I4" s="4">
        <v>1084</v>
      </c>
      <c r="J4" s="4">
        <v>5457</v>
      </c>
      <c r="K4" s="15">
        <f>SUM(C4:J4)</f>
        <v>202269</v>
      </c>
      <c r="L4" s="18">
        <f>K4/$K$12</f>
        <v>4.8533407799422222E-3</v>
      </c>
    </row>
    <row r="5" spans="1:12" ht="29.4" thickBot="1" x14ac:dyDescent="0.35">
      <c r="A5" s="49"/>
      <c r="B5" s="13" t="s">
        <v>11</v>
      </c>
      <c r="C5" s="4">
        <v>6683</v>
      </c>
      <c r="D5" s="4">
        <v>760265</v>
      </c>
      <c r="E5" s="4">
        <v>108880</v>
      </c>
      <c r="F5" s="4">
        <v>98630</v>
      </c>
      <c r="G5" s="4">
        <v>169942</v>
      </c>
      <c r="H5" s="5">
        <v>176069</v>
      </c>
      <c r="I5" s="4">
        <v>36962</v>
      </c>
      <c r="J5" s="4">
        <v>111289</v>
      </c>
      <c r="K5" s="15">
        <f t="shared" ref="K5:K11" si="0">SUM(C5:J5)</f>
        <v>1468720</v>
      </c>
      <c r="L5" s="18">
        <f t="shared" ref="L5:L12" si="1">K5/$K$12</f>
        <v>3.5241182140203095E-2</v>
      </c>
    </row>
    <row r="6" spans="1:12" ht="29.4" thickBot="1" x14ac:dyDescent="0.35">
      <c r="A6" s="49"/>
      <c r="B6" s="13" t="s">
        <v>12</v>
      </c>
      <c r="C6" s="4">
        <v>32240</v>
      </c>
      <c r="D6" s="4">
        <v>85572</v>
      </c>
      <c r="E6" s="4">
        <v>11966538</v>
      </c>
      <c r="F6" s="4">
        <v>33146</v>
      </c>
      <c r="G6" s="4">
        <v>170931</v>
      </c>
      <c r="H6" s="5">
        <v>659740</v>
      </c>
      <c r="I6" s="4">
        <v>137342</v>
      </c>
      <c r="J6" s="4">
        <v>465846</v>
      </c>
      <c r="K6" s="15">
        <f t="shared" si="0"/>
        <v>13551355</v>
      </c>
      <c r="L6" s="18">
        <f t="shared" si="1"/>
        <v>0.32515780393917965</v>
      </c>
    </row>
    <row r="7" spans="1:12" ht="29.4" thickBot="1" x14ac:dyDescent="0.35">
      <c r="A7" s="49"/>
      <c r="B7" s="13" t="s">
        <v>5</v>
      </c>
      <c r="C7" s="4">
        <v>53744</v>
      </c>
      <c r="D7" s="4">
        <v>61108</v>
      </c>
      <c r="E7" s="4">
        <v>45052</v>
      </c>
      <c r="F7" s="4">
        <v>214849</v>
      </c>
      <c r="G7" s="4">
        <v>209401</v>
      </c>
      <c r="H7" s="5">
        <v>55250</v>
      </c>
      <c r="I7" s="4">
        <v>10454</v>
      </c>
      <c r="J7" s="4">
        <v>33494</v>
      </c>
      <c r="K7" s="15">
        <f t="shared" si="0"/>
        <v>683352</v>
      </c>
      <c r="L7" s="18">
        <f t="shared" si="1"/>
        <v>1.6396680305212748E-2</v>
      </c>
    </row>
    <row r="8" spans="1:12" ht="43.8" thickBot="1" x14ac:dyDescent="0.35">
      <c r="A8" s="49"/>
      <c r="B8" s="13" t="s">
        <v>13</v>
      </c>
      <c r="C8" s="4">
        <v>18142</v>
      </c>
      <c r="D8" s="4">
        <v>128424</v>
      </c>
      <c r="E8" s="4">
        <v>267254</v>
      </c>
      <c r="F8" s="4">
        <v>234665</v>
      </c>
      <c r="G8" s="4">
        <v>2757050</v>
      </c>
      <c r="H8" s="5">
        <v>918737</v>
      </c>
      <c r="I8" s="4">
        <v>192668</v>
      </c>
      <c r="J8" s="4">
        <v>620463</v>
      </c>
      <c r="K8" s="15">
        <f t="shared" si="0"/>
        <v>5137403</v>
      </c>
      <c r="L8" s="18">
        <f t="shared" si="1"/>
        <v>0.12326934667644331</v>
      </c>
    </row>
    <row r="9" spans="1:12" ht="29.4" thickBot="1" x14ac:dyDescent="0.35">
      <c r="A9" s="49"/>
      <c r="B9" s="8" t="s">
        <v>14</v>
      </c>
      <c r="C9" s="6">
        <v>22552</v>
      </c>
      <c r="D9" s="6">
        <v>186054</v>
      </c>
      <c r="E9" s="6">
        <v>909402</v>
      </c>
      <c r="F9" s="6">
        <v>61623</v>
      </c>
      <c r="G9" s="6">
        <v>618370</v>
      </c>
      <c r="H9" s="7">
        <v>3634478</v>
      </c>
      <c r="I9" s="4">
        <v>403008</v>
      </c>
      <c r="J9" s="4">
        <v>735068</v>
      </c>
      <c r="K9" s="15">
        <f t="shared" si="0"/>
        <v>6570555</v>
      </c>
      <c r="L9" s="18">
        <f t="shared" si="1"/>
        <v>0.15765709292255989</v>
      </c>
    </row>
    <row r="10" spans="1:12" ht="29.4" thickBot="1" x14ac:dyDescent="0.35">
      <c r="A10" s="49"/>
      <c r="B10" s="13" t="s">
        <v>8</v>
      </c>
      <c r="C10" s="4">
        <v>394</v>
      </c>
      <c r="D10" s="4">
        <v>64560</v>
      </c>
      <c r="E10" s="4">
        <v>319919</v>
      </c>
      <c r="F10" s="4">
        <v>6602</v>
      </c>
      <c r="G10" s="4">
        <v>253062</v>
      </c>
      <c r="H10" s="4">
        <v>684132</v>
      </c>
      <c r="I10" s="4">
        <v>527117</v>
      </c>
      <c r="J10" s="4">
        <v>831189</v>
      </c>
      <c r="K10" s="15">
        <f t="shared" si="0"/>
        <v>2686975</v>
      </c>
      <c r="L10" s="18">
        <f t="shared" si="1"/>
        <v>6.4472585231475171E-2</v>
      </c>
    </row>
    <row r="11" spans="1:12" ht="15" thickBot="1" x14ac:dyDescent="0.35">
      <c r="A11" s="49"/>
      <c r="B11" s="13" t="s">
        <v>9</v>
      </c>
      <c r="C11" s="4">
        <v>4776</v>
      </c>
      <c r="D11" s="4">
        <v>118554</v>
      </c>
      <c r="E11" s="4">
        <v>494097</v>
      </c>
      <c r="F11" s="4">
        <v>55931</v>
      </c>
      <c r="G11" s="4">
        <v>560576</v>
      </c>
      <c r="H11" s="4">
        <v>1407509</v>
      </c>
      <c r="I11" s="4">
        <v>675630</v>
      </c>
      <c r="J11" s="4">
        <v>8058539</v>
      </c>
      <c r="K11" s="15">
        <f t="shared" si="0"/>
        <v>11375612</v>
      </c>
      <c r="L11" s="18">
        <f t="shared" si="1"/>
        <v>0.27295196800498395</v>
      </c>
    </row>
    <row r="12" spans="1:12" ht="15" thickBot="1" x14ac:dyDescent="0.35">
      <c r="A12" s="50"/>
      <c r="B12" s="20" t="s">
        <v>18</v>
      </c>
      <c r="C12" s="21">
        <f>SUM(C4:C11)</f>
        <v>227653</v>
      </c>
      <c r="D12" s="21">
        <f t="shared" ref="D12:J12" si="2">SUM(D4:D11)</f>
        <v>1424867</v>
      </c>
      <c r="E12" s="21">
        <f t="shared" si="2"/>
        <v>14130496</v>
      </c>
      <c r="F12" s="21">
        <f t="shared" si="2"/>
        <v>738894</v>
      </c>
      <c r="G12" s="21">
        <f t="shared" si="2"/>
        <v>4754206</v>
      </c>
      <c r="H12" s="21">
        <f t="shared" si="2"/>
        <v>7554515</v>
      </c>
      <c r="I12" s="21">
        <f t="shared" si="2"/>
        <v>1984265</v>
      </c>
      <c r="J12" s="21">
        <f t="shared" si="2"/>
        <v>10861345</v>
      </c>
      <c r="K12" s="22">
        <f>SUM(K4:K11)</f>
        <v>41676241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5.4624168240125113E-3</v>
      </c>
      <c r="D13" s="18">
        <f t="shared" ref="D13:K13" si="3">D12/$K$12</f>
        <v>3.4188951925870667E-2</v>
      </c>
      <c r="E13" s="18">
        <f t="shared" si="3"/>
        <v>0.339053994816855</v>
      </c>
      <c r="F13" s="18">
        <f t="shared" si="3"/>
        <v>1.7729382071670043E-2</v>
      </c>
      <c r="G13" s="18">
        <f t="shared" si="3"/>
        <v>0.11407473145190805</v>
      </c>
      <c r="H13" s="18">
        <f t="shared" si="3"/>
        <v>0.18126670781081239</v>
      </c>
      <c r="I13" s="18">
        <f t="shared" si="3"/>
        <v>4.7611419657545409E-2</v>
      </c>
      <c r="J13" s="18">
        <f t="shared" si="3"/>
        <v>0.26061239544132592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0.44061126519634702</v>
      </c>
      <c r="D16" s="23">
        <v>0.100509717257711</v>
      </c>
      <c r="E16" s="23">
        <v>9.5684459803529007E-2</v>
      </c>
      <c r="F16" s="23">
        <v>0.16536394603226401</v>
      </c>
      <c r="G16" s="23">
        <v>7.3535737063019996E-2</v>
      </c>
      <c r="H16" s="24">
        <v>9.1956750663720097E-2</v>
      </c>
      <c r="I16" s="23">
        <v>5.3591998773910004E-3</v>
      </c>
      <c r="J16" s="32">
        <v>2.69789241060172E-2</v>
      </c>
    </row>
    <row r="17" spans="2:10" ht="29.4" thickBot="1" x14ac:dyDescent="0.35">
      <c r="B17" s="31" t="s">
        <v>11</v>
      </c>
      <c r="C17" s="23">
        <v>4.55022060025056E-3</v>
      </c>
      <c r="D17" s="23">
        <v>0.51763780707010199</v>
      </c>
      <c r="E17" s="23">
        <v>7.4132578027125695E-2</v>
      </c>
      <c r="F17" s="23">
        <v>6.7153712075821104E-2</v>
      </c>
      <c r="G17" s="23">
        <v>0.115707554877717</v>
      </c>
      <c r="H17" s="24">
        <v>0.11987921455417</v>
      </c>
      <c r="I17" s="23">
        <v>2.51661310528896E-2</v>
      </c>
      <c r="J17" s="32">
        <v>7.5772781741924894E-2</v>
      </c>
    </row>
    <row r="18" spans="2:10" ht="29.4" thickBot="1" x14ac:dyDescent="0.35">
      <c r="B18" s="31" t="s">
        <v>12</v>
      </c>
      <c r="C18" s="23">
        <v>2.3790978835695801E-3</v>
      </c>
      <c r="D18" s="23">
        <v>6.3146452882387001E-3</v>
      </c>
      <c r="E18" s="23">
        <v>0.88305103069028901</v>
      </c>
      <c r="F18" s="23">
        <v>2.44595466652597E-3</v>
      </c>
      <c r="G18" s="23">
        <v>1.26135725910804E-2</v>
      </c>
      <c r="H18" s="24">
        <v>4.8684430449943902E-2</v>
      </c>
      <c r="I18" s="23">
        <v>1.0134927466662899E-2</v>
      </c>
      <c r="J18" s="32">
        <v>3.4376340963689599E-2</v>
      </c>
    </row>
    <row r="19" spans="2:10" ht="29.4" thickBot="1" x14ac:dyDescent="0.35">
      <c r="B19" s="31" t="s">
        <v>5</v>
      </c>
      <c r="C19" s="23">
        <v>7.8647607675107395E-2</v>
      </c>
      <c r="D19" s="23">
        <v>8.9423898664231602E-2</v>
      </c>
      <c r="E19" s="23">
        <v>6.5927955138786506E-2</v>
      </c>
      <c r="F19" s="23">
        <v>0.31440458211873201</v>
      </c>
      <c r="G19" s="23">
        <v>0.306432116976317</v>
      </c>
      <c r="H19" s="24">
        <v>8.0851449911612194E-2</v>
      </c>
      <c r="I19" s="23">
        <v>1.5298118685538299E-2</v>
      </c>
      <c r="J19" s="32">
        <v>4.9014270829674897E-2</v>
      </c>
    </row>
    <row r="20" spans="2:10" ht="43.8" thickBot="1" x14ac:dyDescent="0.35">
      <c r="B20" s="31" t="s">
        <v>13</v>
      </c>
      <c r="C20" s="23">
        <v>3.53135621246766E-3</v>
      </c>
      <c r="D20" s="23">
        <v>2.4997844241536001E-2</v>
      </c>
      <c r="E20" s="23">
        <v>5.2021225510243199E-2</v>
      </c>
      <c r="F20" s="23">
        <v>4.5677748076216697E-2</v>
      </c>
      <c r="G20" s="23">
        <v>0.53666220072671</v>
      </c>
      <c r="H20" s="24">
        <v>0.17883296288027201</v>
      </c>
      <c r="I20" s="23">
        <v>3.7502995190371501E-2</v>
      </c>
      <c r="J20" s="32">
        <v>0.120773667162183</v>
      </c>
    </row>
    <row r="21" spans="2:10" ht="29.4" thickBot="1" x14ac:dyDescent="0.35">
      <c r="B21" s="33" t="s">
        <v>14</v>
      </c>
      <c r="C21" s="25">
        <v>3.4322823566654598E-3</v>
      </c>
      <c r="D21" s="25">
        <v>2.8316329442490001E-2</v>
      </c>
      <c r="E21" s="25">
        <v>0.138405659795862</v>
      </c>
      <c r="F21" s="25">
        <v>9.3786597935790802E-3</v>
      </c>
      <c r="G21" s="25">
        <v>9.4112293405960404E-2</v>
      </c>
      <c r="H21" s="26">
        <v>0.55314627150978901</v>
      </c>
      <c r="I21" s="23">
        <v>6.1335457963596698E-2</v>
      </c>
      <c r="J21" s="32">
        <v>0.111873045732058</v>
      </c>
    </row>
    <row r="22" spans="2:10" ht="29.4" thickBot="1" x14ac:dyDescent="0.35">
      <c r="B22" s="31" t="s">
        <v>8</v>
      </c>
      <c r="C22" s="23">
        <v>1.46633295806623E-4</v>
      </c>
      <c r="D22" s="23">
        <v>2.40270192316639E-2</v>
      </c>
      <c r="E22" s="23">
        <v>0.119062886703449</v>
      </c>
      <c r="F22" s="23">
        <v>2.45703811907442E-3</v>
      </c>
      <c r="G22" s="23">
        <v>9.4181002800547101E-2</v>
      </c>
      <c r="H22" s="23">
        <v>0.25461048204765602</v>
      </c>
      <c r="I22" s="23">
        <v>0.19617488067436401</v>
      </c>
      <c r="J22" s="32">
        <v>0.30934005712743901</v>
      </c>
    </row>
    <row r="23" spans="2:10" ht="15" thickBot="1" x14ac:dyDescent="0.35">
      <c r="B23" s="34" t="s">
        <v>9</v>
      </c>
      <c r="C23" s="35">
        <v>4.19845543255167E-4</v>
      </c>
      <c r="D23" s="35">
        <v>1.0421768956254801E-2</v>
      </c>
      <c r="E23" s="35">
        <v>4.3434762015441497E-2</v>
      </c>
      <c r="F23" s="35">
        <v>4.9167464572455501E-3</v>
      </c>
      <c r="G23" s="35">
        <v>4.9278755288067098E-2</v>
      </c>
      <c r="H23" s="35">
        <v>0.123730397977709</v>
      </c>
      <c r="I23" s="35">
        <v>5.9392848490261399E-2</v>
      </c>
      <c r="J23" s="36">
        <v>0.70840487527176599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2.1384366214793702E-3</v>
      </c>
      <c r="D28">
        <v>4.87807909547313E-4</v>
      </c>
      <c r="E28">
        <v>4.6438929077120898E-4</v>
      </c>
      <c r="F28">
        <v>8.0256758281055103E-4</v>
      </c>
      <c r="G28">
        <v>3.5689399147106399E-4</v>
      </c>
      <c r="H28">
        <v>4.4629744798721201E-4</v>
      </c>
      <c r="I28">
        <v>2.6010023312803101E-5</v>
      </c>
      <c r="J28">
        <v>1.3093791256269999E-4</v>
      </c>
    </row>
    <row r="29" spans="2:10" x14ac:dyDescent="0.3">
      <c r="B29" t="s">
        <v>11</v>
      </c>
      <c r="C29">
        <v>1.60355152951534E-4</v>
      </c>
      <c r="D29">
        <v>1.8242168241612799E-2</v>
      </c>
      <c r="E29">
        <v>2.6125196847767498E-3</v>
      </c>
      <c r="F29">
        <v>2.3665761986547702E-3</v>
      </c>
      <c r="G29">
        <v>4.0776710164431599E-3</v>
      </c>
      <c r="H29">
        <v>4.2246852349279796E-3</v>
      </c>
      <c r="I29">
        <v>8.8688420819910303E-4</v>
      </c>
      <c r="J29">
        <v>2.6703224026370302E-3</v>
      </c>
    </row>
    <row r="30" spans="2:10" x14ac:dyDescent="0.3">
      <c r="B30" t="s">
        <v>12</v>
      </c>
      <c r="C30">
        <v>7.7358224317783397E-4</v>
      </c>
      <c r="D30">
        <v>2.0532561945785801E-3</v>
      </c>
      <c r="E30">
        <v>0.287130933905483</v>
      </c>
      <c r="F30">
        <v>7.9532124790237201E-4</v>
      </c>
      <c r="G30">
        <v>4.1014015635431203E-3</v>
      </c>
      <c r="H30">
        <v>1.58301224911335E-2</v>
      </c>
      <c r="I30">
        <v>3.2954507581429899E-3</v>
      </c>
      <c r="J30">
        <v>1.11777355352178E-2</v>
      </c>
    </row>
    <row r="31" spans="2:10" x14ac:dyDescent="0.3">
      <c r="B31" t="s">
        <v>5</v>
      </c>
      <c r="C31">
        <v>1.28955967981853E-3</v>
      </c>
      <c r="D31">
        <v>1.4662550780431499E-3</v>
      </c>
      <c r="E31">
        <v>1.0809996035870901E-3</v>
      </c>
      <c r="F31">
        <v>5.1551914194948598E-3</v>
      </c>
      <c r="G31">
        <v>5.0244694573102202E-3</v>
      </c>
      <c r="H31">
        <v>1.3256953764136301E-3</v>
      </c>
      <c r="I31">
        <v>2.5083836135797401E-4</v>
      </c>
      <c r="J31">
        <v>8.0367132918729401E-4</v>
      </c>
    </row>
    <row r="32" spans="2:10" x14ac:dyDescent="0.3">
      <c r="B32" t="s">
        <v>13</v>
      </c>
      <c r="C32">
        <v>4.3530797319268801E-4</v>
      </c>
      <c r="D32">
        <v>3.0814679279736398E-3</v>
      </c>
      <c r="E32">
        <v>6.4126224819556097E-3</v>
      </c>
      <c r="F32">
        <v>5.6306661630064004E-3</v>
      </c>
      <c r="G32">
        <v>6.6153998869523806E-2</v>
      </c>
      <c r="H32">
        <v>2.2044622498463801E-2</v>
      </c>
      <c r="I32">
        <v>4.6229697155268897E-3</v>
      </c>
      <c r="J32">
        <v>1.4887691046800501E-2</v>
      </c>
    </row>
    <row r="33" spans="2:10" x14ac:dyDescent="0.3">
      <c r="B33" t="s">
        <v>14</v>
      </c>
      <c r="C33">
        <v>5.4112365844126897E-4</v>
      </c>
      <c r="D33">
        <v>4.4642701821404696E-3</v>
      </c>
      <c r="E33">
        <v>2.1820633967444401E-2</v>
      </c>
      <c r="F33">
        <v>1.47861223856537E-3</v>
      </c>
      <c r="G33">
        <v>1.4837470586658699E-2</v>
      </c>
      <c r="H33">
        <v>8.7207433127186304E-2</v>
      </c>
      <c r="I33">
        <v>9.6699699956145305E-3</v>
      </c>
      <c r="J33">
        <v>1.76375791665088E-2</v>
      </c>
    </row>
    <row r="34" spans="2:10" x14ac:dyDescent="0.3">
      <c r="B34" t="s">
        <v>8</v>
      </c>
      <c r="C34">
        <v>9.4538276616645908E-6</v>
      </c>
      <c r="D34">
        <v>1.54908404527174E-3</v>
      </c>
      <c r="E34">
        <v>7.6762921108935898E-3</v>
      </c>
      <c r="F34">
        <v>1.58411599549009E-4</v>
      </c>
      <c r="G34">
        <v>6.0720927302440704E-3</v>
      </c>
      <c r="H34">
        <v>1.6415396004644499E-2</v>
      </c>
      <c r="I34">
        <v>1.2647901714552399E-2</v>
      </c>
      <c r="J34">
        <v>1.9943953198658201E-2</v>
      </c>
    </row>
    <row r="35" spans="2:10" x14ac:dyDescent="0.3">
      <c r="B35" t="s">
        <v>9</v>
      </c>
      <c r="C35">
        <v>1.1459766728962E-4</v>
      </c>
      <c r="D35">
        <v>2.8446423467030101E-3</v>
      </c>
      <c r="E35">
        <v>1.18556037719429E-2</v>
      </c>
      <c r="F35">
        <v>1.34203562168671E-3</v>
      </c>
      <c r="G35">
        <v>1.34507332367139E-2</v>
      </c>
      <c r="H35">
        <v>3.3772455630055501E-2</v>
      </c>
      <c r="I35">
        <v>1.6211394880838701E-2</v>
      </c>
      <c r="J35">
        <v>0.19336050484975401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6.0907604407028904E-4</v>
      </c>
    </row>
    <row r="41" spans="2:10" x14ac:dyDescent="0.3">
      <c r="B41" t="s">
        <v>11</v>
      </c>
      <c r="C41">
        <v>-1.05223021433243E-3</v>
      </c>
    </row>
    <row r="42" spans="2:10" x14ac:dyDescent="0.3">
      <c r="B42" t="s">
        <v>12</v>
      </c>
      <c r="C42">
        <v>1.38961908776754E-2</v>
      </c>
    </row>
    <row r="43" spans="2:10" x14ac:dyDescent="0.3">
      <c r="B43" t="s">
        <v>5</v>
      </c>
      <c r="C43">
        <v>1.3327017664572999E-3</v>
      </c>
    </row>
    <row r="44" spans="2:10" x14ac:dyDescent="0.3">
      <c r="B44" t="s">
        <v>13</v>
      </c>
      <c r="C44">
        <v>-9.1946152245352495E-3</v>
      </c>
    </row>
    <row r="45" spans="2:10" x14ac:dyDescent="0.3">
      <c r="B45" t="s">
        <v>14</v>
      </c>
      <c r="C45">
        <v>2.36096148882525E-2</v>
      </c>
    </row>
    <row r="46" spans="2:10" x14ac:dyDescent="0.3">
      <c r="B46" t="s">
        <v>8</v>
      </c>
      <c r="C46">
        <v>-1.68611655739298E-2</v>
      </c>
    </row>
    <row r="47" spans="2:10" x14ac:dyDescent="0.3">
      <c r="B47" t="s">
        <v>9</v>
      </c>
      <c r="C47">
        <v>-1.2339572563658001E-2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7"/>
  <sheetViews>
    <sheetView topLeftCell="A16" workbookViewId="0">
      <selection activeCell="B15" sqref="B15:J23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116289</v>
      </c>
      <c r="D4" s="4">
        <v>19072</v>
      </c>
      <c r="E4" s="4">
        <v>35128</v>
      </c>
      <c r="F4" s="4">
        <v>34082</v>
      </c>
      <c r="G4" s="4">
        <v>39486</v>
      </c>
      <c r="H4" s="5">
        <v>28052</v>
      </c>
      <c r="I4" s="4">
        <v>0</v>
      </c>
      <c r="J4" s="4">
        <v>32877</v>
      </c>
      <c r="K4" s="15">
        <f>SUM(C4:J4)</f>
        <v>304986</v>
      </c>
      <c r="L4" s="18">
        <f>K4/$K$12</f>
        <v>6.0213213126711846E-3</v>
      </c>
    </row>
    <row r="5" spans="1:12" ht="29.4" thickBot="1" x14ac:dyDescent="0.35">
      <c r="A5" s="49"/>
      <c r="B5" s="13" t="s">
        <v>11</v>
      </c>
      <c r="C5" s="4">
        <v>20984</v>
      </c>
      <c r="D5" s="4">
        <v>875127</v>
      </c>
      <c r="E5" s="4">
        <v>136994</v>
      </c>
      <c r="F5" s="4">
        <v>67122</v>
      </c>
      <c r="G5" s="4">
        <v>191438</v>
      </c>
      <c r="H5" s="5">
        <v>161046</v>
      </c>
      <c r="I5" s="4">
        <v>46553</v>
      </c>
      <c r="J5" s="4">
        <v>102140</v>
      </c>
      <c r="K5" s="15">
        <f t="shared" ref="K5:K11" si="0">SUM(C5:J5)</f>
        <v>1601404</v>
      </c>
      <c r="L5" s="18">
        <f t="shared" ref="L5:L12" si="1">K5/$K$12</f>
        <v>3.1616428411129972E-2</v>
      </c>
    </row>
    <row r="6" spans="1:12" ht="29.4" thickBot="1" x14ac:dyDescent="0.35">
      <c r="A6" s="49"/>
      <c r="B6" s="13" t="s">
        <v>12</v>
      </c>
      <c r="C6" s="4">
        <v>30587</v>
      </c>
      <c r="D6" s="4">
        <v>88712</v>
      </c>
      <c r="E6" s="4">
        <v>14439704</v>
      </c>
      <c r="F6" s="4">
        <v>22702</v>
      </c>
      <c r="G6" s="4">
        <v>239152</v>
      </c>
      <c r="H6" s="5">
        <v>1117301</v>
      </c>
      <c r="I6" s="4">
        <v>240288</v>
      </c>
      <c r="J6" s="4">
        <v>563972</v>
      </c>
      <c r="K6" s="15">
        <f t="shared" si="0"/>
        <v>16742418</v>
      </c>
      <c r="L6" s="18">
        <f t="shared" si="1"/>
        <v>0.33054460968388605</v>
      </c>
    </row>
    <row r="7" spans="1:12" ht="29.4" thickBot="1" x14ac:dyDescent="0.35">
      <c r="A7" s="49"/>
      <c r="B7" s="13" t="s">
        <v>5</v>
      </c>
      <c r="C7" s="4">
        <v>34913</v>
      </c>
      <c r="D7" s="4">
        <v>60158</v>
      </c>
      <c r="E7" s="4">
        <v>48063</v>
      </c>
      <c r="F7" s="4">
        <v>248882</v>
      </c>
      <c r="G7" s="4">
        <v>275509</v>
      </c>
      <c r="H7" s="5">
        <v>102854</v>
      </c>
      <c r="I7" s="4">
        <v>12674</v>
      </c>
      <c r="J7" s="4">
        <v>37597</v>
      </c>
      <c r="K7" s="15">
        <f t="shared" si="0"/>
        <v>820650</v>
      </c>
      <c r="L7" s="18">
        <f t="shared" si="1"/>
        <v>1.6202046438995914E-2</v>
      </c>
    </row>
    <row r="8" spans="1:12" ht="43.8" thickBot="1" x14ac:dyDescent="0.35">
      <c r="A8" s="49"/>
      <c r="B8" s="13" t="s">
        <v>13</v>
      </c>
      <c r="C8" s="4">
        <v>13300</v>
      </c>
      <c r="D8" s="4">
        <v>202200</v>
      </c>
      <c r="E8" s="4">
        <v>317320</v>
      </c>
      <c r="F8" s="4">
        <v>270070</v>
      </c>
      <c r="G8" s="4">
        <v>3519946</v>
      </c>
      <c r="H8" s="5">
        <v>1021663</v>
      </c>
      <c r="I8" s="4">
        <v>238905</v>
      </c>
      <c r="J8" s="4">
        <v>734702</v>
      </c>
      <c r="K8" s="15">
        <f t="shared" si="0"/>
        <v>6318106</v>
      </c>
      <c r="L8" s="18">
        <f t="shared" si="1"/>
        <v>0.12473800867422009</v>
      </c>
    </row>
    <row r="9" spans="1:12" ht="29.4" thickBot="1" x14ac:dyDescent="0.35">
      <c r="A9" s="49"/>
      <c r="B9" s="8" t="s">
        <v>14</v>
      </c>
      <c r="C9" s="6">
        <v>11472</v>
      </c>
      <c r="D9" s="6">
        <v>261013</v>
      </c>
      <c r="E9" s="6">
        <v>1448680</v>
      </c>
      <c r="F9" s="6">
        <v>94451</v>
      </c>
      <c r="G9" s="6">
        <v>848543</v>
      </c>
      <c r="H9" s="7">
        <v>5270875</v>
      </c>
      <c r="I9" s="4">
        <v>488823</v>
      </c>
      <c r="J9" s="4">
        <v>1050848</v>
      </c>
      <c r="K9" s="15">
        <f t="shared" si="0"/>
        <v>9474705</v>
      </c>
      <c r="L9" s="18">
        <f t="shared" si="1"/>
        <v>0.18705856382841257</v>
      </c>
    </row>
    <row r="10" spans="1:12" ht="29.4" thickBot="1" x14ac:dyDescent="0.35">
      <c r="A10" s="49"/>
      <c r="B10" s="13" t="s">
        <v>8</v>
      </c>
      <c r="C10" s="4">
        <v>666</v>
      </c>
      <c r="D10" s="4">
        <v>56439</v>
      </c>
      <c r="E10" s="4">
        <v>318158</v>
      </c>
      <c r="F10" s="4">
        <v>29068</v>
      </c>
      <c r="G10" s="4">
        <v>260286</v>
      </c>
      <c r="H10" s="4">
        <v>622698</v>
      </c>
      <c r="I10" s="4">
        <v>490051</v>
      </c>
      <c r="J10" s="4">
        <v>570979</v>
      </c>
      <c r="K10" s="15">
        <f t="shared" si="0"/>
        <v>2348345</v>
      </c>
      <c r="L10" s="18">
        <f t="shared" si="1"/>
        <v>4.636324224064322E-2</v>
      </c>
    </row>
    <row r="11" spans="1:12" ht="15" thickBot="1" x14ac:dyDescent="0.35">
      <c r="A11" s="49"/>
      <c r="B11" s="13" t="s">
        <v>9</v>
      </c>
      <c r="C11" s="4">
        <v>3448</v>
      </c>
      <c r="D11" s="4">
        <v>125442</v>
      </c>
      <c r="E11" s="4">
        <v>650473</v>
      </c>
      <c r="F11" s="4">
        <v>46774</v>
      </c>
      <c r="G11" s="4">
        <v>742839</v>
      </c>
      <c r="H11" s="4">
        <v>1614888</v>
      </c>
      <c r="I11" s="4">
        <v>852331</v>
      </c>
      <c r="J11" s="4">
        <v>9004200</v>
      </c>
      <c r="K11" s="15">
        <f t="shared" si="0"/>
        <v>13040395</v>
      </c>
      <c r="L11" s="18">
        <f t="shared" si="1"/>
        <v>0.257455779410041</v>
      </c>
    </row>
    <row r="12" spans="1:12" ht="15" thickBot="1" x14ac:dyDescent="0.35">
      <c r="A12" s="50"/>
      <c r="B12" s="20" t="s">
        <v>18</v>
      </c>
      <c r="C12" s="21">
        <f>SUM(C4:C11)</f>
        <v>231659</v>
      </c>
      <c r="D12" s="21">
        <f t="shared" ref="D12:J12" si="2">SUM(D4:D11)</f>
        <v>1688163</v>
      </c>
      <c r="E12" s="21">
        <f t="shared" si="2"/>
        <v>17394520</v>
      </c>
      <c r="F12" s="21">
        <f t="shared" si="2"/>
        <v>813151</v>
      </c>
      <c r="G12" s="21">
        <f t="shared" si="2"/>
        <v>6117199</v>
      </c>
      <c r="H12" s="21">
        <f t="shared" si="2"/>
        <v>9939377</v>
      </c>
      <c r="I12" s="21">
        <f t="shared" si="2"/>
        <v>2369625</v>
      </c>
      <c r="J12" s="21">
        <f t="shared" si="2"/>
        <v>12097315</v>
      </c>
      <c r="K12" s="22">
        <f>SUM(K4:K11)</f>
        <v>50651009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4.573630507538359E-3</v>
      </c>
      <c r="D13" s="18">
        <f t="shared" ref="D13:K13" si="3">D12/$K$12</f>
        <v>3.3329306430993307E-2</v>
      </c>
      <c r="E13" s="18">
        <f t="shared" si="3"/>
        <v>0.34341902251147655</v>
      </c>
      <c r="F13" s="18">
        <f t="shared" si="3"/>
        <v>1.6053994107007818E-2</v>
      </c>
      <c r="G13" s="18">
        <f t="shared" si="3"/>
        <v>0.12077151315978721</v>
      </c>
      <c r="H13" s="18">
        <f t="shared" si="3"/>
        <v>0.19623255678875026</v>
      </c>
      <c r="I13" s="18">
        <f t="shared" si="3"/>
        <v>4.6783372074581969E-2</v>
      </c>
      <c r="J13" s="18">
        <f t="shared" si="3"/>
        <v>0.23883660441986457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0.381292911805788</v>
      </c>
      <c r="D16" s="23">
        <v>6.2534017954922499E-2</v>
      </c>
      <c r="E16" s="23">
        <v>0.11517905739935599</v>
      </c>
      <c r="F16" s="23">
        <v>0.11174939177536</v>
      </c>
      <c r="G16" s="23">
        <v>0.129468237886329</v>
      </c>
      <c r="H16" s="24">
        <v>9.1977992432439495E-2</v>
      </c>
      <c r="I16" s="23">
        <v>0</v>
      </c>
      <c r="J16" s="32">
        <v>0.107798390745805</v>
      </c>
    </row>
    <row r="17" spans="2:10" ht="29.4" thickBot="1" x14ac:dyDescent="0.35">
      <c r="B17" s="31" t="s">
        <v>11</v>
      </c>
      <c r="C17" s="23">
        <v>1.3103501677278201E-2</v>
      </c>
      <c r="D17" s="23">
        <v>0.54647484332498197</v>
      </c>
      <c r="E17" s="23">
        <v>8.5546183224220806E-2</v>
      </c>
      <c r="F17" s="23">
        <v>4.19144700525289E-2</v>
      </c>
      <c r="G17" s="23">
        <v>0.119543850271387</v>
      </c>
      <c r="H17" s="24">
        <v>0.100565503770441</v>
      </c>
      <c r="I17" s="23">
        <v>2.9070115973233501E-2</v>
      </c>
      <c r="J17" s="32">
        <v>6.3781531705928096E-2</v>
      </c>
    </row>
    <row r="18" spans="2:10" ht="29.4" thickBot="1" x14ac:dyDescent="0.35">
      <c r="B18" s="31" t="s">
        <v>12</v>
      </c>
      <c r="C18" s="23">
        <v>1.82691651827114E-3</v>
      </c>
      <c r="D18" s="23">
        <v>5.2986372697181499E-3</v>
      </c>
      <c r="E18" s="23">
        <v>0.86246227994068703</v>
      </c>
      <c r="F18" s="23">
        <v>1.35595706665549E-3</v>
      </c>
      <c r="G18" s="23">
        <v>1.4284197181076199E-2</v>
      </c>
      <c r="H18" s="24">
        <v>6.6734745244086E-2</v>
      </c>
      <c r="I18" s="23">
        <v>1.43520487900852E-2</v>
      </c>
      <c r="J18" s="32">
        <v>3.3685217989420597E-2</v>
      </c>
    </row>
    <row r="19" spans="2:10" ht="29.4" thickBot="1" x14ac:dyDescent="0.35">
      <c r="B19" s="31" t="s">
        <v>5</v>
      </c>
      <c r="C19" s="23">
        <v>4.2543106074453198E-2</v>
      </c>
      <c r="D19" s="23">
        <v>7.3305306769024595E-2</v>
      </c>
      <c r="E19" s="23">
        <v>5.8566989581429398E-2</v>
      </c>
      <c r="F19" s="23">
        <v>0.30327423383903002</v>
      </c>
      <c r="G19" s="23">
        <v>0.33572046548467699</v>
      </c>
      <c r="H19" s="24">
        <v>0.12533235849631399</v>
      </c>
      <c r="I19" s="23">
        <v>1.5443855480411901E-2</v>
      </c>
      <c r="J19" s="32">
        <v>4.5813684274660302E-2</v>
      </c>
    </row>
    <row r="20" spans="2:10" ht="43.8" thickBot="1" x14ac:dyDescent="0.35">
      <c r="B20" s="31" t="s">
        <v>13</v>
      </c>
      <c r="C20" s="23">
        <v>2.1050612319578098E-3</v>
      </c>
      <c r="D20" s="23">
        <v>3.2003261736982598E-2</v>
      </c>
      <c r="E20" s="23">
        <v>5.0223912039462498E-2</v>
      </c>
      <c r="F20" s="23">
        <v>4.27454050311913E-2</v>
      </c>
      <c r="G20" s="23">
        <v>0.55712044084097401</v>
      </c>
      <c r="H20" s="24">
        <v>0.161703998001933</v>
      </c>
      <c r="I20" s="23">
        <v>3.7812755911344302E-2</v>
      </c>
      <c r="J20" s="32">
        <v>0.11628516520615501</v>
      </c>
    </row>
    <row r="21" spans="2:10" ht="29.4" thickBot="1" x14ac:dyDescent="0.35">
      <c r="B21" s="33" t="s">
        <v>14</v>
      </c>
      <c r="C21" s="25">
        <v>1.2108028693241599E-3</v>
      </c>
      <c r="D21" s="25">
        <v>2.7548403881704001E-2</v>
      </c>
      <c r="E21" s="25">
        <v>0.15289974727445299</v>
      </c>
      <c r="F21" s="25">
        <v>9.9687536445725693E-3</v>
      </c>
      <c r="G21" s="25">
        <v>8.9558777819467694E-2</v>
      </c>
      <c r="H21" s="26">
        <v>0.55631019646521995</v>
      </c>
      <c r="I21" s="23">
        <v>5.1592424249620399E-2</v>
      </c>
      <c r="J21" s="32">
        <v>0.110910893795638</v>
      </c>
    </row>
    <row r="22" spans="2:10" ht="29.4" thickBot="1" x14ac:dyDescent="0.35">
      <c r="B22" s="31" t="s">
        <v>8</v>
      </c>
      <c r="C22" s="23">
        <v>2.8360398493407099E-4</v>
      </c>
      <c r="D22" s="23">
        <v>2.4033521480021001E-2</v>
      </c>
      <c r="E22" s="23">
        <v>0.13548179675473601</v>
      </c>
      <c r="F22" s="23">
        <v>1.2378079030125499E-2</v>
      </c>
      <c r="G22" s="23">
        <v>0.110838058292116</v>
      </c>
      <c r="H22" s="23">
        <v>0.26516461593164498</v>
      </c>
      <c r="I22" s="23">
        <v>0.20867930393532499</v>
      </c>
      <c r="J22" s="32">
        <v>0.24314102059109699</v>
      </c>
    </row>
    <row r="23" spans="2:10" ht="15" thickBot="1" x14ac:dyDescent="0.35">
      <c r="B23" s="34" t="s">
        <v>9</v>
      </c>
      <c r="C23" s="35">
        <v>2.6440916858730098E-4</v>
      </c>
      <c r="D23" s="35">
        <v>9.6194938880302307E-3</v>
      </c>
      <c r="E23" s="35">
        <v>4.9881387795385E-2</v>
      </c>
      <c r="F23" s="35">
        <v>3.5868545392988499E-3</v>
      </c>
      <c r="G23" s="35">
        <v>5.6964455447860302E-2</v>
      </c>
      <c r="H23" s="35">
        <v>0.12383735308631399</v>
      </c>
      <c r="I23" s="35">
        <v>6.5360826876793204E-2</v>
      </c>
      <c r="J23" s="36">
        <v>0.69048521919773098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2.2958871362266401E-3</v>
      </c>
      <c r="D28">
        <v>3.7653741507893799E-4</v>
      </c>
      <c r="E28">
        <v>6.9353011309212001E-4</v>
      </c>
      <c r="F28">
        <v>6.72878994375018E-4</v>
      </c>
      <c r="G28">
        <v>7.7956986009893698E-4</v>
      </c>
      <c r="H28">
        <v>5.5382904613015703E-4</v>
      </c>
      <c r="I28">
        <v>0</v>
      </c>
      <c r="J28">
        <v>6.4908874766937002E-4</v>
      </c>
    </row>
    <row r="29" spans="2:10" x14ac:dyDescent="0.3">
      <c r="B29" t="s">
        <v>11</v>
      </c>
      <c r="C29">
        <v>4.1428592271478698E-4</v>
      </c>
      <c r="D29">
        <v>1.72775827624678E-2</v>
      </c>
      <c r="E29">
        <v>2.70466477775398E-3</v>
      </c>
      <c r="F29">
        <v>1.32518584180623E-3</v>
      </c>
      <c r="G29">
        <v>3.77954958409614E-3</v>
      </c>
      <c r="H29">
        <v>3.1795220505873799E-3</v>
      </c>
      <c r="I29">
        <v>9.1909324057098203E-4</v>
      </c>
      <c r="J29">
        <v>2.0165442311326901E-3</v>
      </c>
    </row>
    <row r="30" spans="2:10" x14ac:dyDescent="0.3">
      <c r="B30" t="s">
        <v>12</v>
      </c>
      <c r="C30">
        <v>6.0387740745697696E-4</v>
      </c>
      <c r="D30">
        <v>1.75143598817548E-3</v>
      </c>
      <c r="E30">
        <v>0.28508225769006901</v>
      </c>
      <c r="F30">
        <v>4.4820429934574498E-4</v>
      </c>
      <c r="G30">
        <v>4.7215643818665099E-3</v>
      </c>
      <c r="H30">
        <v>2.2058810319059999E-2</v>
      </c>
      <c r="I30">
        <v>4.7439923654827897E-3</v>
      </c>
      <c r="J30">
        <v>1.1134467232429701E-2</v>
      </c>
    </row>
    <row r="31" spans="2:10" x14ac:dyDescent="0.3">
      <c r="B31" t="s">
        <v>5</v>
      </c>
      <c r="C31">
        <v>6.8928538027742E-4</v>
      </c>
      <c r="D31">
        <v>1.1876959844965801E-3</v>
      </c>
      <c r="E31">
        <v>9.4890508499050801E-4</v>
      </c>
      <c r="F31">
        <v>4.9136632204108696E-3</v>
      </c>
      <c r="G31">
        <v>5.4393585723040601E-3</v>
      </c>
      <c r="H31">
        <v>2.0306406926661599E-3</v>
      </c>
      <c r="I31">
        <v>2.5022206369077502E-4</v>
      </c>
      <c r="J31">
        <v>7.4227544015954404E-4</v>
      </c>
    </row>
    <row r="32" spans="2:10" x14ac:dyDescent="0.3">
      <c r="B32" t="s">
        <v>13</v>
      </c>
      <c r="C32">
        <v>2.6258114621171701E-4</v>
      </c>
      <c r="D32">
        <v>3.9920231401510704E-3</v>
      </c>
      <c r="E32">
        <v>6.2648307756317297E-3</v>
      </c>
      <c r="F32">
        <v>5.3319767035637901E-3</v>
      </c>
      <c r="G32">
        <v>6.9494094382206703E-2</v>
      </c>
      <c r="H32">
        <v>2.01706347054212E-2</v>
      </c>
      <c r="I32">
        <v>4.7166878748654299E-3</v>
      </c>
      <c r="J32">
        <v>1.4505179946168499E-2</v>
      </c>
    </row>
    <row r="33" spans="2:10" x14ac:dyDescent="0.3">
      <c r="B33" t="s">
        <v>14</v>
      </c>
      <c r="C33">
        <v>2.26491045815099E-4</v>
      </c>
      <c r="D33">
        <v>5.15316486587661E-3</v>
      </c>
      <c r="E33">
        <v>2.8601207134886501E-2</v>
      </c>
      <c r="F33">
        <v>1.8647407399129999E-3</v>
      </c>
      <c r="G33">
        <v>1.6752736357137501E-2</v>
      </c>
      <c r="H33">
        <v>0.10406258639388601</v>
      </c>
      <c r="I33">
        <v>9.6508047845601692E-3</v>
      </c>
      <c r="J33">
        <v>2.07468325063376E-2</v>
      </c>
    </row>
    <row r="34" spans="2:10" x14ac:dyDescent="0.3">
      <c r="B34" t="s">
        <v>8</v>
      </c>
      <c r="C34">
        <v>1.314880025391E-5</v>
      </c>
      <c r="D34">
        <v>1.11427197827392E-3</v>
      </c>
      <c r="E34">
        <v>6.28137536213741E-3</v>
      </c>
      <c r="F34">
        <v>5.7388787654753305E-4</v>
      </c>
      <c r="G34">
        <v>5.1388117460799297E-3</v>
      </c>
      <c r="H34">
        <v>1.2293891322086E-2</v>
      </c>
      <c r="I34">
        <v>9.6750491189622704E-3</v>
      </c>
      <c r="J34">
        <v>1.12728060363023E-2</v>
      </c>
    </row>
    <row r="35" spans="2:10" x14ac:dyDescent="0.3">
      <c r="B35" t="s">
        <v>9</v>
      </c>
      <c r="C35">
        <v>6.8073668581804594E-5</v>
      </c>
      <c r="D35">
        <v>2.4765942964729499E-3</v>
      </c>
      <c r="E35">
        <v>1.28422515729154E-2</v>
      </c>
      <c r="F35">
        <v>9.2345643104562803E-4</v>
      </c>
      <c r="G35">
        <v>1.4665828275997401E-2</v>
      </c>
      <c r="H35">
        <v>3.1882642258913303E-2</v>
      </c>
      <c r="I35">
        <v>1.6827522626449602E-2</v>
      </c>
      <c r="J35">
        <v>0.177769410279665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-1.4476908051328299E-3</v>
      </c>
    </row>
    <row r="41" spans="2:10" x14ac:dyDescent="0.3">
      <c r="B41" t="s">
        <v>11</v>
      </c>
      <c r="C41">
        <v>1.7128780198633301E-3</v>
      </c>
    </row>
    <row r="42" spans="2:10" x14ac:dyDescent="0.3">
      <c r="B42" t="s">
        <v>12</v>
      </c>
      <c r="C42">
        <v>1.28744128275905E-2</v>
      </c>
    </row>
    <row r="43" spans="2:10" x14ac:dyDescent="0.3">
      <c r="B43" t="s">
        <v>5</v>
      </c>
      <c r="C43">
        <v>-1.48052331988096E-4</v>
      </c>
    </row>
    <row r="44" spans="2:10" x14ac:dyDescent="0.3">
      <c r="B44" t="s">
        <v>13</v>
      </c>
      <c r="C44">
        <v>-3.96649551443289E-3</v>
      </c>
    </row>
    <row r="45" spans="2:10" x14ac:dyDescent="0.3">
      <c r="B45" t="s">
        <v>14</v>
      </c>
      <c r="C45">
        <v>9.1739929603376902E-3</v>
      </c>
    </row>
    <row r="46" spans="2:10" x14ac:dyDescent="0.3">
      <c r="B46" t="s">
        <v>8</v>
      </c>
      <c r="C46">
        <v>4.2012983393875002E-4</v>
      </c>
    </row>
    <row r="47" spans="2:10" x14ac:dyDescent="0.3">
      <c r="B47" t="s">
        <v>9</v>
      </c>
      <c r="C47">
        <v>-1.8619174990176401E-2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7"/>
  <sheetViews>
    <sheetView topLeftCell="A13" workbookViewId="0">
      <selection activeCell="E19" sqref="E19"/>
    </sheetView>
  </sheetViews>
  <sheetFormatPr baseColWidth="10" defaultRowHeight="14.4" x14ac:dyDescent="0.3"/>
  <sheetData>
    <row r="1" spans="1:12" ht="15" thickBot="1" x14ac:dyDescent="0.35">
      <c r="B1" t="s">
        <v>0</v>
      </c>
    </row>
    <row r="2" spans="1:12" ht="15" thickBot="1" x14ac:dyDescent="0.35">
      <c r="A2" s="1"/>
      <c r="B2" s="10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16"/>
    </row>
    <row r="3" spans="1:12" ht="43.8" thickBot="1" x14ac:dyDescent="0.35">
      <c r="A3" s="12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14" t="s">
        <v>18</v>
      </c>
      <c r="L3" s="17" t="s">
        <v>23</v>
      </c>
    </row>
    <row r="4" spans="1:12" ht="15" thickBot="1" x14ac:dyDescent="0.35">
      <c r="A4" s="48" t="s">
        <v>20</v>
      </c>
      <c r="B4" s="13" t="s">
        <v>10</v>
      </c>
      <c r="C4" s="4">
        <v>126065</v>
      </c>
      <c r="D4" s="4">
        <v>19750</v>
      </c>
      <c r="E4" s="4">
        <v>18426</v>
      </c>
      <c r="F4" s="4">
        <v>41506</v>
      </c>
      <c r="G4" s="4">
        <v>22332</v>
      </c>
      <c r="H4" s="5">
        <v>16262</v>
      </c>
      <c r="I4" s="4">
        <v>264</v>
      </c>
      <c r="J4" s="4">
        <v>4422</v>
      </c>
      <c r="K4" s="15">
        <f>SUM(C4:J4)</f>
        <v>249027</v>
      </c>
      <c r="L4" s="18">
        <f>K4/$K$12</f>
        <v>5.370484661510036E-3</v>
      </c>
    </row>
    <row r="5" spans="1:12" ht="29.4" thickBot="1" x14ac:dyDescent="0.35">
      <c r="A5" s="49"/>
      <c r="B5" s="13" t="s">
        <v>11</v>
      </c>
      <c r="C5" s="4">
        <v>19511</v>
      </c>
      <c r="D5" s="4">
        <v>722661</v>
      </c>
      <c r="E5" s="4">
        <v>88530</v>
      </c>
      <c r="F5" s="4">
        <v>61459</v>
      </c>
      <c r="G5" s="4">
        <v>200341</v>
      </c>
      <c r="H5" s="5">
        <v>181461</v>
      </c>
      <c r="I5" s="4">
        <v>41196</v>
      </c>
      <c r="J5" s="4">
        <v>79703</v>
      </c>
      <c r="K5" s="15">
        <f t="shared" ref="K5:K11" si="0">SUM(C5:J5)</f>
        <v>1394862</v>
      </c>
      <c r="L5" s="18">
        <f t="shared" ref="L5:L12" si="1">K5/$K$12</f>
        <v>3.0081416777792015E-2</v>
      </c>
    </row>
    <row r="6" spans="1:12" ht="29.4" thickBot="1" x14ac:dyDescent="0.35">
      <c r="A6" s="49"/>
      <c r="B6" s="13" t="s">
        <v>12</v>
      </c>
      <c r="C6" s="4">
        <v>45896</v>
      </c>
      <c r="D6" s="4">
        <v>140822</v>
      </c>
      <c r="E6" s="4">
        <v>13675435</v>
      </c>
      <c r="F6" s="4">
        <v>36219</v>
      </c>
      <c r="G6" s="4">
        <v>269836</v>
      </c>
      <c r="H6" s="5">
        <v>935680</v>
      </c>
      <c r="I6" s="4">
        <v>329418</v>
      </c>
      <c r="J6" s="4">
        <v>461818</v>
      </c>
      <c r="K6" s="15">
        <f t="shared" si="0"/>
        <v>15895124</v>
      </c>
      <c r="L6" s="18">
        <f t="shared" si="1"/>
        <v>0.34279222588233427</v>
      </c>
    </row>
    <row r="7" spans="1:12" ht="29.4" thickBot="1" x14ac:dyDescent="0.35">
      <c r="A7" s="49"/>
      <c r="B7" s="13" t="s">
        <v>5</v>
      </c>
      <c r="C7" s="4">
        <v>25474</v>
      </c>
      <c r="D7" s="4">
        <v>68795</v>
      </c>
      <c r="E7" s="4">
        <v>39725</v>
      </c>
      <c r="F7" s="4">
        <v>261734</v>
      </c>
      <c r="G7" s="4">
        <v>229898</v>
      </c>
      <c r="H7" s="5">
        <v>122110</v>
      </c>
      <c r="I7" s="4">
        <v>22648</v>
      </c>
      <c r="J7" s="4">
        <v>29494</v>
      </c>
      <c r="K7" s="15">
        <f t="shared" si="0"/>
        <v>799878</v>
      </c>
      <c r="L7" s="18">
        <f t="shared" si="1"/>
        <v>1.7250067382570265E-2</v>
      </c>
    </row>
    <row r="8" spans="1:12" ht="43.8" thickBot="1" x14ac:dyDescent="0.35">
      <c r="A8" s="49"/>
      <c r="B8" s="13" t="s">
        <v>13</v>
      </c>
      <c r="C8" s="4">
        <v>30534</v>
      </c>
      <c r="D8" s="4">
        <v>142310</v>
      </c>
      <c r="E8" s="4">
        <v>217310</v>
      </c>
      <c r="F8" s="4">
        <v>213161</v>
      </c>
      <c r="G8" s="4">
        <v>2911893</v>
      </c>
      <c r="H8" s="5">
        <v>765070</v>
      </c>
      <c r="I8" s="4">
        <v>218277</v>
      </c>
      <c r="J8" s="4">
        <v>617508</v>
      </c>
      <c r="K8" s="15">
        <f t="shared" si="0"/>
        <v>5116063</v>
      </c>
      <c r="L8" s="18">
        <f t="shared" si="1"/>
        <v>0.11033236504001181</v>
      </c>
    </row>
    <row r="9" spans="1:12" ht="29.4" thickBot="1" x14ac:dyDescent="0.35">
      <c r="A9" s="49"/>
      <c r="B9" s="8" t="s">
        <v>14</v>
      </c>
      <c r="C9" s="6">
        <v>18066</v>
      </c>
      <c r="D9" s="6">
        <v>169559</v>
      </c>
      <c r="E9" s="6">
        <v>1149335</v>
      </c>
      <c r="F9" s="6">
        <v>71392</v>
      </c>
      <c r="G9" s="6">
        <v>781232</v>
      </c>
      <c r="H9" s="7">
        <v>4778255</v>
      </c>
      <c r="I9" s="4">
        <v>529888</v>
      </c>
      <c r="J9" s="4">
        <v>1104028</v>
      </c>
      <c r="K9" s="15">
        <f t="shared" si="0"/>
        <v>8601755</v>
      </c>
      <c r="L9" s="18">
        <f t="shared" si="1"/>
        <v>0.18550435611225796</v>
      </c>
    </row>
    <row r="10" spans="1:12" ht="29.4" thickBot="1" x14ac:dyDescent="0.35">
      <c r="A10" s="49"/>
      <c r="B10" s="13" t="s">
        <v>8</v>
      </c>
      <c r="C10" s="4">
        <v>0</v>
      </c>
      <c r="D10" s="4">
        <v>31354</v>
      </c>
      <c r="E10" s="4">
        <v>264544</v>
      </c>
      <c r="F10" s="4">
        <v>6022</v>
      </c>
      <c r="G10" s="4">
        <v>257879</v>
      </c>
      <c r="H10" s="4">
        <v>499568</v>
      </c>
      <c r="I10" s="4">
        <v>529856</v>
      </c>
      <c r="J10" s="4">
        <v>594329</v>
      </c>
      <c r="K10" s="15">
        <f t="shared" si="0"/>
        <v>2183552</v>
      </c>
      <c r="L10" s="18">
        <f t="shared" si="1"/>
        <v>4.709020517297146E-2</v>
      </c>
    </row>
    <row r="11" spans="1:12" ht="15" thickBot="1" x14ac:dyDescent="0.35">
      <c r="A11" s="49"/>
      <c r="B11" s="13" t="s">
        <v>9</v>
      </c>
      <c r="C11" s="4">
        <v>1270</v>
      </c>
      <c r="D11" s="4">
        <v>168453</v>
      </c>
      <c r="E11" s="4">
        <v>437431</v>
      </c>
      <c r="F11" s="4">
        <v>29992</v>
      </c>
      <c r="G11" s="4">
        <v>750629</v>
      </c>
      <c r="H11" s="4">
        <v>1252018</v>
      </c>
      <c r="I11" s="4">
        <v>872030</v>
      </c>
      <c r="J11" s="4">
        <v>8617474</v>
      </c>
      <c r="K11" s="15">
        <f t="shared" si="0"/>
        <v>12129297</v>
      </c>
      <c r="L11" s="18">
        <f t="shared" si="1"/>
        <v>0.26157887897055221</v>
      </c>
    </row>
    <row r="12" spans="1:12" ht="15" thickBot="1" x14ac:dyDescent="0.35">
      <c r="A12" s="50"/>
      <c r="B12" s="20" t="s">
        <v>18</v>
      </c>
      <c r="C12" s="21">
        <f>SUM(C4:C11)</f>
        <v>266816</v>
      </c>
      <c r="D12" s="21">
        <f t="shared" ref="D12:J12" si="2">SUM(D4:D11)</f>
        <v>1463704</v>
      </c>
      <c r="E12" s="21">
        <f t="shared" si="2"/>
        <v>15890736</v>
      </c>
      <c r="F12" s="21">
        <f t="shared" si="2"/>
        <v>721485</v>
      </c>
      <c r="G12" s="21">
        <f t="shared" si="2"/>
        <v>5424040</v>
      </c>
      <c r="H12" s="21">
        <f t="shared" si="2"/>
        <v>8550424</v>
      </c>
      <c r="I12" s="21">
        <f t="shared" si="2"/>
        <v>2543577</v>
      </c>
      <c r="J12" s="21">
        <f t="shared" si="2"/>
        <v>11508776</v>
      </c>
      <c r="K12" s="22">
        <f>SUM(K4:K11)</f>
        <v>46369558</v>
      </c>
      <c r="L12" s="18">
        <f t="shared" si="1"/>
        <v>1</v>
      </c>
    </row>
    <row r="13" spans="1:12" ht="28.8" x14ac:dyDescent="0.3">
      <c r="A13" s="11"/>
      <c r="B13" s="17" t="s">
        <v>22</v>
      </c>
      <c r="C13" s="18">
        <f>C12/$K$12</f>
        <v>5.7541199767312855E-3</v>
      </c>
      <c r="D13" s="18">
        <f t="shared" ref="D13:K13" si="3">D12/$K$12</f>
        <v>3.1566054608499823E-2</v>
      </c>
      <c r="E13" s="18">
        <f t="shared" si="3"/>
        <v>0.34269759483150564</v>
      </c>
      <c r="F13" s="18">
        <f t="shared" si="3"/>
        <v>1.555945389861167E-2</v>
      </c>
      <c r="G13" s="18">
        <f t="shared" si="3"/>
        <v>0.11697415791627774</v>
      </c>
      <c r="H13" s="18">
        <f t="shared" si="3"/>
        <v>0.18439735828407078</v>
      </c>
      <c r="I13" s="18">
        <f t="shared" si="3"/>
        <v>5.4854458608382679E-2</v>
      </c>
      <c r="J13" s="18">
        <f t="shared" si="3"/>
        <v>0.24819680187592041</v>
      </c>
      <c r="K13" s="18">
        <f t="shared" si="3"/>
        <v>1</v>
      </c>
      <c r="L13" s="19"/>
    </row>
    <row r="14" spans="1:12" ht="15" thickBot="1" x14ac:dyDescent="0.35">
      <c r="B14" t="s">
        <v>15</v>
      </c>
    </row>
    <row r="15" spans="1:12" ht="43.8" thickBot="1" x14ac:dyDescent="0.35">
      <c r="B15" s="27" t="s">
        <v>1</v>
      </c>
      <c r="C15" s="28" t="s">
        <v>2</v>
      </c>
      <c r="D15" s="28" t="s">
        <v>3</v>
      </c>
      <c r="E15" s="28" t="s">
        <v>4</v>
      </c>
      <c r="F15" s="28" t="s">
        <v>5</v>
      </c>
      <c r="G15" s="28" t="s">
        <v>6</v>
      </c>
      <c r="H15" s="29" t="s">
        <v>7</v>
      </c>
      <c r="I15" s="28" t="s">
        <v>8</v>
      </c>
      <c r="J15" s="30" t="s">
        <v>9</v>
      </c>
    </row>
    <row r="16" spans="1:12" ht="15" thickBot="1" x14ac:dyDescent="0.35">
      <c r="B16" s="31" t="s">
        <v>10</v>
      </c>
      <c r="C16" s="23">
        <v>0.50623024812570505</v>
      </c>
      <c r="D16" s="23">
        <v>7.9308669341075499E-2</v>
      </c>
      <c r="E16" s="23">
        <v>7.3991976773602905E-2</v>
      </c>
      <c r="F16" s="23">
        <v>0.16667269010990801</v>
      </c>
      <c r="G16" s="23">
        <v>8.9677022973412499E-2</v>
      </c>
      <c r="H16" s="24">
        <v>6.5302155991117397E-2</v>
      </c>
      <c r="I16" s="23">
        <v>1.0601260104326001E-3</v>
      </c>
      <c r="J16" s="32">
        <v>1.7757110674746099E-2</v>
      </c>
    </row>
    <row r="17" spans="2:10" ht="29.4" thickBot="1" x14ac:dyDescent="0.35">
      <c r="B17" s="31" t="s">
        <v>11</v>
      </c>
      <c r="C17" s="23">
        <v>1.3987763664075699E-2</v>
      </c>
      <c r="D17" s="23">
        <v>0.51808781083720101</v>
      </c>
      <c r="E17" s="23">
        <v>6.3468644209964897E-2</v>
      </c>
      <c r="F17" s="23">
        <v>4.4060989545919201E-2</v>
      </c>
      <c r="G17" s="23">
        <v>0.143627828416001</v>
      </c>
      <c r="H17" s="24">
        <v>0.13009243925205499</v>
      </c>
      <c r="I17" s="23">
        <v>2.9534104449042298E-2</v>
      </c>
      <c r="J17" s="32">
        <v>5.7140419625740797E-2</v>
      </c>
    </row>
    <row r="18" spans="2:10" ht="29.4" thickBot="1" x14ac:dyDescent="0.35">
      <c r="B18" s="31" t="s">
        <v>12</v>
      </c>
      <c r="C18" s="23">
        <v>2.8874263579195701E-3</v>
      </c>
      <c r="D18" s="23">
        <v>8.8594464566618004E-3</v>
      </c>
      <c r="E18" s="23">
        <v>0.86035409349433201</v>
      </c>
      <c r="F18" s="23">
        <v>2.2786233061157599E-3</v>
      </c>
      <c r="G18" s="23">
        <v>1.69760235906307E-2</v>
      </c>
      <c r="H18" s="24">
        <v>5.8865850936425497E-2</v>
      </c>
      <c r="I18" s="23">
        <v>2.0724468711285301E-2</v>
      </c>
      <c r="J18" s="32">
        <v>2.9054067146629399E-2</v>
      </c>
    </row>
    <row r="19" spans="2:10" ht="29.4" thickBot="1" x14ac:dyDescent="0.35">
      <c r="B19" s="31" t="s">
        <v>5</v>
      </c>
      <c r="C19" s="23">
        <v>3.1847356721900102E-2</v>
      </c>
      <c r="D19" s="23">
        <v>8.6006866047072195E-2</v>
      </c>
      <c r="E19" s="23">
        <v>4.9663823733119297E-2</v>
      </c>
      <c r="F19" s="23">
        <v>0.3272174006536</v>
      </c>
      <c r="G19" s="23">
        <v>0.28741633099047598</v>
      </c>
      <c r="H19" s="24">
        <v>0.152660780769067</v>
      </c>
      <c r="I19" s="23">
        <v>2.8314317933484899E-2</v>
      </c>
      <c r="J19" s="32">
        <v>3.68731231512806E-2</v>
      </c>
    </row>
    <row r="20" spans="2:10" ht="43.8" thickBot="1" x14ac:dyDescent="0.35">
      <c r="B20" s="31" t="s">
        <v>13</v>
      </c>
      <c r="C20" s="23">
        <v>5.9682611414284799E-3</v>
      </c>
      <c r="D20" s="23">
        <v>2.78163110970291E-2</v>
      </c>
      <c r="E20" s="23">
        <v>4.2476021112327997E-2</v>
      </c>
      <c r="F20" s="23">
        <v>4.1665045954281603E-2</v>
      </c>
      <c r="G20" s="23">
        <v>0.56916675967438202</v>
      </c>
      <c r="H20" s="24">
        <v>0.14954272455206299</v>
      </c>
      <c r="I20" s="23">
        <v>4.2665033640125201E-2</v>
      </c>
      <c r="J20" s="32">
        <v>0.12069984282836201</v>
      </c>
    </row>
    <row r="21" spans="2:10" ht="29.4" thickBot="1" x14ac:dyDescent="0.35">
      <c r="B21" s="33" t="s">
        <v>14</v>
      </c>
      <c r="C21" s="25">
        <v>2.1002690729973101E-3</v>
      </c>
      <c r="D21" s="25">
        <v>1.9712140138843801E-2</v>
      </c>
      <c r="E21" s="25">
        <v>0.13361633759622299</v>
      </c>
      <c r="F21" s="25">
        <v>8.2997016306556003E-3</v>
      </c>
      <c r="G21" s="25">
        <v>9.0822396127301905E-2</v>
      </c>
      <c r="H21" s="26">
        <v>0.55549768622798501</v>
      </c>
      <c r="I21" s="23">
        <v>6.1602312551333999E-2</v>
      </c>
      <c r="J21" s="32">
        <v>0.12834915665465901</v>
      </c>
    </row>
    <row r="22" spans="2:10" ht="29.4" thickBot="1" x14ac:dyDescent="0.35">
      <c r="B22" s="31" t="s">
        <v>8</v>
      </c>
      <c r="C22" s="23">
        <v>0</v>
      </c>
      <c r="D22" s="23">
        <v>1.4359172577525101E-2</v>
      </c>
      <c r="E22" s="23">
        <v>0.121153057037341</v>
      </c>
      <c r="F22" s="23">
        <v>2.75789172870625E-3</v>
      </c>
      <c r="G22" s="23">
        <v>0.118100690984231</v>
      </c>
      <c r="H22" s="23">
        <v>0.22878685737733701</v>
      </c>
      <c r="I22" s="23">
        <v>0.24265783457412499</v>
      </c>
      <c r="J22" s="32">
        <v>0.272184495720734</v>
      </c>
    </row>
    <row r="23" spans="2:10" ht="15" thickBot="1" x14ac:dyDescent="0.35">
      <c r="B23" s="34" t="s">
        <v>9</v>
      </c>
      <c r="C23" s="35">
        <v>1.04705161395586E-4</v>
      </c>
      <c r="D23" s="35">
        <v>1.38881090965124E-2</v>
      </c>
      <c r="E23" s="35">
        <v>3.6064002720025697E-2</v>
      </c>
      <c r="F23" s="35">
        <v>2.47269070911529E-3</v>
      </c>
      <c r="G23" s="35">
        <v>6.1885614640320899E-2</v>
      </c>
      <c r="H23" s="35">
        <v>0.103222635244235</v>
      </c>
      <c r="I23" s="35">
        <v>7.1894521174640194E-2</v>
      </c>
      <c r="J23" s="36">
        <v>0.71046772125375401</v>
      </c>
    </row>
    <row r="26" spans="2:10" x14ac:dyDescent="0.3">
      <c r="B26" t="s">
        <v>16</v>
      </c>
    </row>
    <row r="27" spans="2:10" x14ac:dyDescent="0.3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</row>
    <row r="28" spans="2:10" x14ac:dyDescent="0.3">
      <c r="B28" t="s">
        <v>10</v>
      </c>
      <c r="C28">
        <v>2.7187017827515199E-3</v>
      </c>
      <c r="D28">
        <v>4.25925992221017E-4</v>
      </c>
      <c r="E28">
        <v>3.97372776337441E-4</v>
      </c>
      <c r="F28">
        <v>8.9511312572787495E-4</v>
      </c>
      <c r="G28">
        <v>4.8160907636859502E-4</v>
      </c>
      <c r="H28">
        <v>3.5070422711383199E-4</v>
      </c>
      <c r="I28">
        <v>5.6933904782961303E-6</v>
      </c>
      <c r="J28">
        <v>9.5364290511460093E-5</v>
      </c>
    </row>
    <row r="29" spans="2:10" x14ac:dyDescent="0.3">
      <c r="B29" t="s">
        <v>11</v>
      </c>
      <c r="C29">
        <v>4.2077174856831699E-4</v>
      </c>
      <c r="D29">
        <v>1.55848153652877E-2</v>
      </c>
      <c r="E29">
        <v>1.9092267388013499E-3</v>
      </c>
      <c r="F29">
        <v>1.3254169901727301E-3</v>
      </c>
      <c r="G29">
        <v>4.3205285674709302E-3</v>
      </c>
      <c r="H29">
        <v>3.9133648847806601E-3</v>
      </c>
      <c r="I29">
        <v>8.88427705090482E-4</v>
      </c>
      <c r="J29">
        <v>1.7188647776198299E-3</v>
      </c>
    </row>
    <row r="30" spans="2:10" x14ac:dyDescent="0.3">
      <c r="B30" t="s">
        <v>12</v>
      </c>
      <c r="C30">
        <v>9.8978730830257206E-4</v>
      </c>
      <c r="D30">
        <v>3.0369493709644598E-3</v>
      </c>
      <c r="E30">
        <v>0.29492269475589999</v>
      </c>
      <c r="F30">
        <v>7.8109435505078605E-4</v>
      </c>
      <c r="G30">
        <v>5.8192489132633104E-3</v>
      </c>
      <c r="H30">
        <v>2.0178756070955001E-2</v>
      </c>
      <c r="I30">
        <v>7.1041867597702799E-3</v>
      </c>
      <c r="J30">
        <v>9.9595083481278796E-3</v>
      </c>
    </row>
    <row r="31" spans="2:10" x14ac:dyDescent="0.3">
      <c r="B31" t="s">
        <v>5</v>
      </c>
      <c r="C31">
        <v>5.4936904940952895E-4</v>
      </c>
      <c r="D31">
        <v>1.4836242346756899E-3</v>
      </c>
      <c r="E31">
        <v>8.5670430587240002E-4</v>
      </c>
      <c r="F31">
        <v>5.6445222100240796E-3</v>
      </c>
      <c r="G31">
        <v>4.9579510764368303E-3</v>
      </c>
      <c r="H31">
        <v>2.6334087549422002E-3</v>
      </c>
      <c r="I31">
        <v>4.8842389224413099E-4</v>
      </c>
      <c r="J31">
        <v>6.3606385896540095E-4</v>
      </c>
    </row>
    <row r="32" spans="2:10" x14ac:dyDescent="0.3">
      <c r="B32" t="s">
        <v>13</v>
      </c>
      <c r="C32">
        <v>6.5849236691020404E-4</v>
      </c>
      <c r="D32">
        <v>3.0690393900239502E-3</v>
      </c>
      <c r="E32">
        <v>4.6864798668126203E-3</v>
      </c>
      <c r="F32">
        <v>4.5970030596366703E-3</v>
      </c>
      <c r="G32">
        <v>6.2797514697034595E-2</v>
      </c>
      <c r="H32">
        <v>1.6499402474356099E-2</v>
      </c>
      <c r="I32">
        <v>4.7073340660266803E-3</v>
      </c>
      <c r="J32">
        <v>1.33170991192109E-2</v>
      </c>
    </row>
    <row r="33" spans="2:10" x14ac:dyDescent="0.3">
      <c r="B33" t="s">
        <v>14</v>
      </c>
      <c r="C33">
        <v>3.89609062048855E-4</v>
      </c>
      <c r="D33">
        <v>3.6566878640508101E-3</v>
      </c>
      <c r="E33">
        <v>2.4786412671865401E-2</v>
      </c>
      <c r="F33">
        <v>1.53963080691863E-3</v>
      </c>
      <c r="G33">
        <v>1.6847950114167599E-2</v>
      </c>
      <c r="H33">
        <v>0.10304724060557099</v>
      </c>
      <c r="I33">
        <v>1.1427497324861299E-2</v>
      </c>
      <c r="J33">
        <v>2.38093276627739E-2</v>
      </c>
    </row>
    <row r="34" spans="2:10" x14ac:dyDescent="0.3">
      <c r="B34" t="s">
        <v>8</v>
      </c>
      <c r="C34">
        <v>0</v>
      </c>
      <c r="D34">
        <v>6.7617638278976095E-4</v>
      </c>
      <c r="E34">
        <v>5.7051223132211001E-3</v>
      </c>
      <c r="F34">
        <v>1.2986968734961799E-4</v>
      </c>
      <c r="G34">
        <v>5.5613857695171499E-3</v>
      </c>
      <c r="H34">
        <v>1.07736200547782E-2</v>
      </c>
      <c r="I34">
        <v>1.14268072169245E-2</v>
      </c>
      <c r="J34">
        <v>1.28172237483911E-2</v>
      </c>
    </row>
    <row r="35" spans="2:10" x14ac:dyDescent="0.3">
      <c r="B35" t="s">
        <v>9</v>
      </c>
      <c r="C35">
        <v>2.7388658740288201E-5</v>
      </c>
      <c r="D35">
        <v>3.6328360084864298E-3</v>
      </c>
      <c r="E35">
        <v>9.4335814026952798E-3</v>
      </c>
      <c r="F35">
        <v>6.4680366373127799E-4</v>
      </c>
      <c r="G35">
        <v>1.61879697020187E-2</v>
      </c>
      <c r="H35">
        <v>2.7000861211573302E-2</v>
      </c>
      <c r="I35">
        <v>1.8806088252987001E-2</v>
      </c>
      <c r="J35">
        <v>0.18584335007031999</v>
      </c>
    </row>
    <row r="38" spans="2:10" x14ac:dyDescent="0.3">
      <c r="B38" t="s">
        <v>17</v>
      </c>
    </row>
    <row r="39" spans="2:10" x14ac:dyDescent="0.3">
      <c r="B39" t="s">
        <v>1</v>
      </c>
      <c r="C39" t="s">
        <v>17</v>
      </c>
    </row>
    <row r="40" spans="2:10" x14ac:dyDescent="0.3">
      <c r="B40" t="s">
        <v>10</v>
      </c>
      <c r="C40">
        <v>3.8363531522124999E-4</v>
      </c>
    </row>
    <row r="41" spans="2:10" x14ac:dyDescent="0.3">
      <c r="B41" t="s">
        <v>11</v>
      </c>
      <c r="C41">
        <v>1.4846378307078101E-3</v>
      </c>
    </row>
    <row r="42" spans="2:10" x14ac:dyDescent="0.3">
      <c r="B42" t="s">
        <v>12</v>
      </c>
      <c r="C42">
        <v>-9.4631050828630797E-5</v>
      </c>
    </row>
    <row r="43" spans="2:10" x14ac:dyDescent="0.3">
      <c r="B43" t="s">
        <v>5</v>
      </c>
      <c r="C43">
        <v>-1.6906134839585901E-3</v>
      </c>
    </row>
    <row r="44" spans="2:10" x14ac:dyDescent="0.3">
      <c r="B44" t="s">
        <v>13</v>
      </c>
      <c r="C44">
        <v>6.6417928762659301E-3</v>
      </c>
    </row>
    <row r="45" spans="2:10" x14ac:dyDescent="0.3">
      <c r="B45" t="s">
        <v>14</v>
      </c>
      <c r="C45">
        <v>-1.10699782818718E-3</v>
      </c>
    </row>
    <row r="46" spans="2:10" x14ac:dyDescent="0.3">
      <c r="B46" t="s">
        <v>8</v>
      </c>
      <c r="C46">
        <v>7.7642534354112197E-3</v>
      </c>
    </row>
    <row r="47" spans="2:10" x14ac:dyDescent="0.3">
      <c r="B47" t="s">
        <v>9</v>
      </c>
      <c r="C47">
        <v>-1.33820770946318E-2</v>
      </c>
    </row>
  </sheetData>
  <mergeCells count="2">
    <mergeCell ref="C2:K2"/>
    <mergeCell ref="A4:A1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2003-2004</vt:lpstr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2025-12-02T19:10:54Z</dcterms:created>
  <dcterms:modified xsi:type="dcterms:W3CDTF">2026-03-14T02:19:12Z</dcterms:modified>
</cp:coreProperties>
</file>